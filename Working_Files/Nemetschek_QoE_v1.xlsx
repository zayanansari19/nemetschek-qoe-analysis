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Exec_Summary" sheetId="2" state="visible" r:id="rId4"/>
    <sheet name="Data_Raw" sheetId="3" state="visible" r:id="rId5"/>
    <sheet name="Revenue_Analysis" sheetId="4" state="visible" r:id="rId6"/>
    <sheet name="Recurring_Rev" sheetId="5" state="visible" r:id="rId7"/>
    <sheet name="Segment_DeepDive" sheetId="6" state="visible" r:id="rId8"/>
    <sheet name="Quality_Metrics" sheetId="7" state="visible" r:id="rId9"/>
    <sheet name="Finding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<sst xmlns="http://schemas.openxmlformats.org/spreadsheetml/2006/main" count="714" uniqueCount="466">
  <si>
    <t xml:space="preserve">NEMETSCHEK SE</t>
  </si>
  <si>
    <t xml:space="preserve">Quality of Earnings Analysis</t>
  </si>
  <si>
    <t xml:space="preserve">FY2020 – FY2024  |  Commercial Due Diligence</t>
  </si>
  <si>
    <t xml:space="preserve">Prepared by: Zayan Ansari</t>
  </si>
  <si>
    <t xml:space="preserve">Date: September 18, 2026</t>
  </si>
  <si>
    <t xml:space="preserve">SCOPE &amp; METHODOLOGY</t>
  </si>
  <si>
    <t xml:space="preserve">Subject:</t>
  </si>
  <si>
    <t xml:space="preserve">Nemetschek SE (XETRA: NEM)</t>
  </si>
  <si>
    <t xml:space="preserve">Sector:</t>
  </si>
  <si>
    <t xml:space="preserve">Software — AEC / Digital Industries</t>
  </si>
  <si>
    <t xml:space="preserve">Analysis Period:</t>
  </si>
  <si>
    <t xml:space="preserve">FY2020 – FY2024 (5-year trend)</t>
  </si>
  <si>
    <t xml:space="preserve">Data Sources:</t>
  </si>
  <si>
    <t xml:space="preserve">Nemetschek Annual Reports 2020-2024, H1 2025 Report</t>
  </si>
  <si>
    <t xml:space="preserve">Framework:</t>
  </si>
  <si>
    <t xml:space="preserve">Big 4 Transaction Services QoE methodology</t>
  </si>
  <si>
    <t xml:space="preserve">Revenue Streams:</t>
  </si>
  <si>
    <t xml:space="preserve">Subscription/SaaS, Maintenance, Perpetual Licenses, Consulting &amp; HW</t>
  </si>
  <si>
    <t xml:space="preserve">Segments:</t>
  </si>
  <si>
    <t xml:space="preserve">Design, Build, Manage, Media &amp; Entertainment</t>
  </si>
  <si>
    <t xml:space="preserve">Key Focus:</t>
  </si>
  <si>
    <t xml:space="preserve">Recurring revenue quality, subscription transition, organic vs M&amp;A growth</t>
  </si>
  <si>
    <t xml:space="preserve">KEY FINDINGS AT A GLANCE</t>
  </si>
  <si>
    <t xml:space="preserve">✓  Revenue CAGR 13.6% (FY20→FY24) driven by subscription transition</t>
  </si>
  <si>
    <t xml:space="preserve">✓  Recurring revenue share: 60.2% (FY20) → 86.5% (FY24)</t>
  </si>
  <si>
    <t xml:space="preserve">✓  Subscription/SaaS grew 58.6% CAGR — now 65.9% of recurring revenue</t>
  </si>
  <si>
    <t xml:space="preserve">✓  ARR reached €1,020M (+41.9% YoY), organic +34.6%</t>
  </si>
  <si>
    <t xml:space="preserve">✓  EBITDA margin stable ~30% despite transition investment</t>
  </si>
  <si>
    <t xml:space="preserve">⚠  GoCanvas acquisition (€665M) — integration risk, 0.8% EBITDA margin in H2 2024</t>
  </si>
  <si>
    <t xml:space="preserve">⚠  Trade receivables +48% — DSO increased from 42.7 to 54.0 days</t>
  </si>
  <si>
    <t xml:space="preserve">⚠  Net debt position post-GoCanvas (LT borrowings €500M vs cash €206M)</t>
  </si>
  <si>
    <t xml:space="preserve">CONFIDENTIAL — For Portfolio / Interview Purposes Only</t>
  </si>
  <si>
    <t xml:space="preserve">This analysis uses publicly available data from Nemetschek SE annual reports.</t>
  </si>
  <si>
    <t xml:space="preserve">WORKBOOK NAVIGATION</t>
  </si>
  <si>
    <t xml:space="preserve">Cover</t>
  </si>
  <si>
    <t xml:space="preserve">This page — scope, methodology, key findings</t>
  </si>
  <si>
    <t xml:space="preserve">Exec_Summary</t>
  </si>
  <si>
    <t xml:space="preserve">Executive dashboard — KPIs, charts, traffic-light summary</t>
  </si>
  <si>
    <t xml:space="preserve">Data_Raw</t>
  </si>
  <si>
    <t xml:space="preserve">Complete financial data set with source citations</t>
  </si>
  <si>
    <t xml:space="preserve">Revenue_Analysis</t>
  </si>
  <si>
    <t xml:space="preserve">Revenue bridge, growth decomposition, regional mix</t>
  </si>
  <si>
    <t xml:space="preserve">Recurring_Rev</t>
  </si>
  <si>
    <t xml:space="preserve">Subscription transition, ARR analysis, revenue quality</t>
  </si>
  <si>
    <t xml:space="preserve">Segment_DeepDive</t>
  </si>
  <si>
    <t xml:space="preserve">Design, Build, Manage, Media segment P&amp;L and margins</t>
  </si>
  <si>
    <t xml:space="preserve">Quality_Metrics</t>
  </si>
  <si>
    <t xml:space="preserve">Cash conversion, DSO, deferred revenue, balance sheet</t>
  </si>
  <si>
    <t xml:space="preserve">Findings</t>
  </si>
  <si>
    <t xml:space="preserve">Big 4 TS-style findings — Observation, Implication, Risk Rating</t>
  </si>
  <si>
    <t xml:space="preserve">NEMETSCHEK SE — EXECUTIVE SUMMARY</t>
  </si>
  <si>
    <t xml:space="preserve">Quality of Earnings Analysis  |  FY2020 – FY2024</t>
  </si>
  <si>
    <t xml:space="preserve">KEY PERFORMANCE INDICATORS</t>
  </si>
  <si>
    <t xml:space="preserve">Metric</t>
  </si>
  <si>
    <t xml:space="preserve">2020</t>
  </si>
  <si>
    <t xml:space="preserve">2021</t>
  </si>
  <si>
    <t xml:space="preserve">2022</t>
  </si>
  <si>
    <t xml:space="preserve">2023</t>
  </si>
  <si>
    <t xml:space="preserve">2024</t>
  </si>
  <si>
    <t xml:space="preserve">5Y CAGR</t>
  </si>
  <si>
    <t xml:space="preserve">Revenue (€m)</t>
  </si>
  <si>
    <t xml:space="preserve">  YoY Growth</t>
  </si>
  <si>
    <t xml:space="preserve">Recurring Revenue (€m)</t>
  </si>
  <si>
    <t xml:space="preserve">  Recurring % of Revenue</t>
  </si>
  <si>
    <t xml:space="preserve">Subscription/SaaS (€m)</t>
  </si>
  <si>
    <t xml:space="preserve">  Sub/SaaS YoY Growth</t>
  </si>
  <si>
    <t xml:space="preserve">EBITDA (€m)</t>
  </si>
  <si>
    <t xml:space="preserve">  EBITDA Margin</t>
  </si>
  <si>
    <t xml:space="preserve">Net Income (€m)</t>
  </si>
  <si>
    <t xml:space="preserve">CF from Operations (€m)</t>
  </si>
  <si>
    <t xml:space="preserve">FCF before M&amp;A (€m)</t>
  </si>
  <si>
    <t xml:space="preserve">EPS (€)</t>
  </si>
  <si>
    <t xml:space="preserve">TRAFFIC LIGHT ASSESSMENT</t>
  </si>
  <si>
    <t xml:space="preserve">Category</t>
  </si>
  <si>
    <t xml:space="preserve">Assessment</t>
  </si>
  <si>
    <t xml:space="preserve">Rating</t>
  </si>
  <si>
    <t xml:space="preserve">Key Evidence</t>
  </si>
  <si>
    <t xml:space="preserve">Revenue Quality</t>
  </si>
  <si>
    <t xml:space="preserve">STRONG</t>
  </si>
  <si>
    <t xml:space="preserve">GREEN</t>
  </si>
  <si>
    <t xml:space="preserve">86.5% recurring, Sub/SaaS CAGR 58.6%, ARR €1.02B</t>
  </si>
  <si>
    <t xml:space="preserve">Growth Sustainability</t>
  </si>
  <si>
    <t xml:space="preserve">13.6% rev CAGR, organic growth 13.7% in FY24</t>
  </si>
  <si>
    <t xml:space="preserve">Subscription Transition</t>
  </si>
  <si>
    <t xml:space="preserve">ON TRACK</t>
  </si>
  <si>
    <t xml:space="preserve">Sub/SaaS 57.0% of rev (up from 15.1% in FY20)</t>
  </si>
  <si>
    <t xml:space="preserve">Profitability</t>
  </si>
  <si>
    <t xml:space="preserve">STABLE</t>
  </si>
  <si>
    <t xml:space="preserve">AMBER</t>
  </si>
  <si>
    <t xml:space="preserve">EBITDA margin 30.2% — stable but GoCanvas dilutive</t>
  </si>
  <si>
    <t xml:space="preserve">Cash Generation</t>
  </si>
  <si>
    <t xml:space="preserve">OCF/NI 172%, FCF pre-M&amp;A €294M (+22% YoY)</t>
  </si>
  <si>
    <t xml:space="preserve">M&amp;A Integration</t>
  </si>
  <si>
    <t xml:space="preserve">WATCH</t>
  </si>
  <si>
    <t xml:space="preserve">GoCanvas €665M — high goodwill, low initial margins</t>
  </si>
  <si>
    <t xml:space="preserve">Balance Sheet</t>
  </si>
  <si>
    <t xml:space="preserve">CHANGED</t>
  </si>
  <si>
    <t xml:space="preserve">Net debt post-GoCanvas; equity ratio 44% vs 61%</t>
  </si>
  <si>
    <t xml:space="preserve">Working Capital</t>
  </si>
  <si>
    <t xml:space="preserve">MONITOR</t>
  </si>
  <si>
    <t xml:space="preserve">DSO up 42.7→54.0 days; receivables +48%</t>
  </si>
  <si>
    <t xml:space="preserve">Geographic Diversification</t>
  </si>
  <si>
    <t xml:space="preserve">IMPROVING</t>
  </si>
  <si>
    <t xml:space="preserve">Americas now 40.4% (up from 30.5% in FY20)</t>
  </si>
  <si>
    <t xml:space="preserve">Customer Concentration</t>
  </si>
  <si>
    <t xml:space="preserve">LOW RISK</t>
  </si>
  <si>
    <t xml:space="preserve">Broad client base, no single customer &gt;5%</t>
  </si>
  <si>
    <t xml:space="preserve">Sources: Nemetschek SE Annual Reports 2020-2024. All figures in EUR millions unless noted.</t>
  </si>
  <si>
    <t xml:space="preserve">NEMETSCHEK SE — RAW FINANCIAL DATA</t>
  </si>
  <si>
    <t xml:space="preserve">A. INCOME STATEMENT SUMMARY (€m)</t>
  </si>
  <si>
    <t xml:space="preserve">Line Item</t>
  </si>
  <si>
    <t xml:space="preserve">FY24 YoY %</t>
  </si>
  <si>
    <t xml:space="preserve">Source</t>
  </si>
  <si>
    <t xml:space="preserve">Total Revenue</t>
  </si>
  <si>
    <t xml:space="preserve">AR24 Key Figures p.6-7</t>
  </si>
  <si>
    <t xml:space="preserve">  Software &amp; Licenses</t>
  </si>
  <si>
    <t xml:space="preserve">AR24 Note [1] p.174</t>
  </si>
  <si>
    <t xml:space="preserve">  Recurring Revenue</t>
  </si>
  <si>
    <t xml:space="preserve">AR24 Key Figures p.6</t>
  </si>
  <si>
    <t xml:space="preserve">    Subscription/SaaS</t>
  </si>
  <si>
    <t xml:space="preserve">    Maintenance</t>
  </si>
  <si>
    <t xml:space="preserve">Derived: Recurring - Sub/SaaS</t>
  </si>
  <si>
    <t xml:space="preserve">  Consulting &amp; Hardware</t>
  </si>
  <si>
    <t xml:space="preserve">EBITDA</t>
  </si>
  <si>
    <t xml:space="preserve">EBITDA Margin</t>
  </si>
  <si>
    <t xml:space="preserve">Calculated</t>
  </si>
  <si>
    <t xml:space="preserve">EBIT</t>
  </si>
  <si>
    <t xml:space="preserve">AR24 P&amp;L p.153</t>
  </si>
  <si>
    <t xml:space="preserve">EBIT Margin</t>
  </si>
  <si>
    <t xml:space="preserve">Net Income (Group)</t>
  </si>
  <si>
    <t xml:space="preserve">Net Income Margin</t>
  </si>
  <si>
    <t xml:space="preserve">AR24 Key Figures p.7</t>
  </si>
  <si>
    <t xml:space="preserve">B. CASH FLOW (€m)</t>
  </si>
  <si>
    <t xml:space="preserve">CF from Operations</t>
  </si>
  <si>
    <t xml:space="preserve">AR24 CF Statement p.155</t>
  </si>
  <si>
    <t xml:space="preserve">Capital Expenditure</t>
  </si>
  <si>
    <t xml:space="preserve">Free Cash Flow (reported)</t>
  </si>
  <si>
    <t xml:space="preserve">FCF before M&amp;A</t>
  </si>
  <si>
    <t xml:space="preserve">Cash Conversion (OCF/NI)</t>
  </si>
  <si>
    <t xml:space="preserve">FCF pre-M&amp;A Conversion</t>
  </si>
  <si>
    <t xml:space="preserve">C. REVENUE BY TYPE (€m)</t>
  </si>
  <si>
    <t xml:space="preserve">Recurring Revenue</t>
  </si>
  <si>
    <t xml:space="preserve">AR24 Key Figures</t>
  </si>
  <si>
    <t xml:space="preserve">  Recurring % of Total</t>
  </si>
  <si>
    <t xml:space="preserve">Software &amp; Licenses</t>
  </si>
  <si>
    <t xml:space="preserve">AR24 Note [1]</t>
  </si>
  <si>
    <t xml:space="preserve">  Licenses % of Total</t>
  </si>
  <si>
    <t xml:space="preserve">Consulting &amp; Hardware</t>
  </si>
  <si>
    <t xml:space="preserve">  C&amp;H % of Total</t>
  </si>
  <si>
    <t xml:space="preserve">D. REVENUE BY REGION (€m)</t>
  </si>
  <si>
    <t xml:space="preserve">Germany</t>
  </si>
  <si>
    <t xml:space="preserve">AR24 Note [1] p.174; FY20-22 est from %</t>
  </si>
  <si>
    <t xml:space="preserve">Europe ex-Germany</t>
  </si>
  <si>
    <t xml:space="preserve">AR24 Note [1]; FY20-22 est from %</t>
  </si>
  <si>
    <t xml:space="preserve">Americas</t>
  </si>
  <si>
    <t xml:space="preserve">Asia/Pacific</t>
  </si>
  <si>
    <t xml:space="preserve">Rest of World</t>
  </si>
  <si>
    <t xml:space="preserve">Derived (residual)</t>
  </si>
  <si>
    <t xml:space="preserve">Germany %</t>
  </si>
  <si>
    <t xml:space="preserve">Europe ex-DE %</t>
  </si>
  <si>
    <t xml:space="preserve">Americas %</t>
  </si>
  <si>
    <t xml:space="preserve">Asia/Pac %</t>
  </si>
  <si>
    <t xml:space="preserve">E. SEGMENT DATA (€m)</t>
  </si>
  <si>
    <t xml:space="preserve">Design — Revenue</t>
  </si>
  <si>
    <t xml:space="preserve">AR24 Note [26]; FY20-22 est from %</t>
  </si>
  <si>
    <t xml:space="preserve">Build — Revenue</t>
  </si>
  <si>
    <t xml:space="preserve">Manage — Revenue</t>
  </si>
  <si>
    <t xml:space="preserve">Media — Revenue</t>
  </si>
  <si>
    <t xml:space="preserve">Design — EBITDA</t>
  </si>
  <si>
    <t xml:space="preserve">AR24 Note [26] p.197</t>
  </si>
  <si>
    <t xml:space="preserve">Build — EBITDA</t>
  </si>
  <si>
    <t xml:space="preserve">Manage — EBITDA</t>
  </si>
  <si>
    <t xml:space="preserve">Media — EBITDA</t>
  </si>
  <si>
    <t xml:space="preserve">Design — EBITDA Margin</t>
  </si>
  <si>
    <t xml:space="preserve">Build — EBITDA Margin</t>
  </si>
  <si>
    <t xml:space="preserve">Manage — EBITDA Margin</t>
  </si>
  <si>
    <t xml:space="preserve">Media — EBITDA Margin</t>
  </si>
  <si>
    <t xml:space="preserve">F. BALANCE SHEET &amp; OTHER (€m)</t>
  </si>
  <si>
    <t xml:space="preserve">Cash &amp; Equivalents</t>
  </si>
  <si>
    <t xml:space="preserve">AR24 BS p.154</t>
  </si>
  <si>
    <t xml:space="preserve">Trade Receivables (net)</t>
  </si>
  <si>
    <t xml:space="preserve">AR24 Note p.180</t>
  </si>
  <si>
    <t xml:space="preserve">Goodwill</t>
  </si>
  <si>
    <t xml:space="preserve">Total Assets</t>
  </si>
  <si>
    <t xml:space="preserve">Total Equity</t>
  </si>
  <si>
    <t xml:space="preserve">Equity Ratio</t>
  </si>
  <si>
    <t xml:space="preserve">LT Borrowings</t>
  </si>
  <si>
    <t xml:space="preserve">Deferred Revenue (total)</t>
  </si>
  <si>
    <t xml:space="preserve">AR24 Note [1] p.175</t>
  </si>
  <si>
    <t xml:space="preserve">  Short-term</t>
  </si>
  <si>
    <t xml:space="preserve">  Long-term</t>
  </si>
  <si>
    <t xml:space="preserve">DSO (days)</t>
  </si>
  <si>
    <t xml:space="preserve">Calculated: Rec/Rev × 365</t>
  </si>
  <si>
    <t xml:space="preserve">Headcount (avg)</t>
  </si>
  <si>
    <t xml:space="preserve">AR24 Note [26] p.200</t>
  </si>
  <si>
    <t xml:space="preserve">Rev / Employee (€k)</t>
  </si>
  <si>
    <t xml:space="preserve">G. ACQUISITIONS — FY2024</t>
  </si>
  <si>
    <t xml:space="preserve">GoCanvas Holdings, Inc.</t>
  </si>
  <si>
    <t xml:space="preserve">  Acquisition Date</t>
  </si>
  <si>
    <t xml:space="preserve">July 1, 2024</t>
  </si>
  <si>
    <t xml:space="preserve">AR24 Note p.172</t>
  </si>
  <si>
    <t xml:space="preserve">  Purchase Price (€m)</t>
  </si>
  <si>
    <t xml:space="preserve">  Goodwill (€m)</t>
  </si>
  <si>
    <t xml:space="preserve">AR24 Note p.173</t>
  </si>
  <si>
    <t xml:space="preserve">  Intangible Assets (€m)</t>
  </si>
  <si>
    <t xml:space="preserve">  Post-Acquisition Rev (€m, 6 months)</t>
  </si>
  <si>
    <t xml:space="preserve">  Post-Acquisition EBITDA (€m, 6 months)</t>
  </si>
  <si>
    <t xml:space="preserve">  Pro-Forma Full-Year Rev (€m)</t>
  </si>
  <si>
    <t xml:space="preserve">  ARR (~USD m)</t>
  </si>
  <si>
    <t xml:space="preserve">AR24 Mgmt Report p.123</t>
  </si>
  <si>
    <t xml:space="preserve">REVENUE ANALYSIS</t>
  </si>
  <si>
    <t xml:space="preserve">1. REVENUE BRIDGE &amp; GROWTH DECOMPOSITION</t>
  </si>
  <si>
    <t xml:space="preserve">Component</t>
  </si>
  <si>
    <t xml:space="preserve">CAGR</t>
  </si>
  <si>
    <t xml:space="preserve">Total Revenue (€m)</t>
  </si>
  <si>
    <t xml:space="preserve">Revenue by Type:</t>
  </si>
  <si>
    <t xml:space="preserve">  Subscription/SaaS</t>
  </si>
  <si>
    <t xml:space="preserve">  Maintenance</t>
  </si>
  <si>
    <t xml:space="preserve">  Software Licenses</t>
  </si>
  <si>
    <t xml:space="preserve">Mix (% of Revenue):</t>
  </si>
  <si>
    <t xml:space="preserve">  Subscription/SaaS %</t>
  </si>
  <si>
    <t xml:space="preserve">  Maintenance %</t>
  </si>
  <si>
    <t xml:space="preserve">  Software Licenses %</t>
  </si>
  <si>
    <t xml:space="preserve">  Consulting &amp; HW %</t>
  </si>
  <si>
    <t xml:space="preserve">YoY Growth by Component:</t>
  </si>
  <si>
    <t xml:space="preserve">  Sub/SaaS Growth</t>
  </si>
  <si>
    <t xml:space="preserve">  Recurring Rev Growth</t>
  </si>
  <si>
    <t xml:space="preserve">  License Growth</t>
  </si>
  <si>
    <t xml:space="preserve">2. REVENUE BY GEOGRAPHY</t>
  </si>
  <si>
    <t xml:space="preserve">Region</t>
  </si>
  <si>
    <t xml:space="preserve">Δ FY20→24</t>
  </si>
  <si>
    <t xml:space="preserve">Germany (€m)</t>
  </si>
  <si>
    <t xml:space="preserve">Europe ex-Germany (€m)</t>
  </si>
  <si>
    <t xml:space="preserve">Americas (€m)</t>
  </si>
  <si>
    <t xml:space="preserve">Asia/Pacific (€m)</t>
  </si>
  <si>
    <t xml:space="preserve">3. ORGANIC vs INORGANIC GROWTH (FY2024)</t>
  </si>
  <si>
    <t xml:space="preserve">FY2024</t>
  </si>
  <si>
    <t xml:space="preserve">Total Revenue Growth (nominal)</t>
  </si>
  <si>
    <t xml:space="preserve">Total Revenue Growth (currency-adjusted)</t>
  </si>
  <si>
    <t xml:space="preserve">Organic Revenue Growth (excl GoCanvas)</t>
  </si>
  <si>
    <t xml:space="preserve">Organic Revenue Growth (ca)</t>
  </si>
  <si>
    <t xml:space="preserve">GoCanvas Contribution (6 months)</t>
  </si>
  <si>
    <t xml:space="preserve">GoCanvas Implied Contribution %</t>
  </si>
  <si>
    <t xml:space="preserve">ARR Growth (nominal)</t>
  </si>
  <si>
    <t xml:space="preserve">ARR Growth (ca)</t>
  </si>
  <si>
    <t xml:space="preserve">Organic ARR Growth</t>
  </si>
  <si>
    <t xml:space="preserve">Organic ARR Growth (ca)</t>
  </si>
  <si>
    <t xml:space="preserve">Sub/SaaS Growth (nominal)</t>
  </si>
  <si>
    <t xml:space="preserve">Organic Sub/SaaS Growth</t>
  </si>
  <si>
    <t xml:space="preserve">Organic EBITDA Margin (excl GoCanvas)</t>
  </si>
  <si>
    <t xml:space="preserve">Reported EBITDA Margin (incl GoCanvas)</t>
  </si>
  <si>
    <t xml:space="preserve">GoCanvas EBITDA Margin (H2 only)</t>
  </si>
  <si>
    <t xml:space="preserve">Source: AR 2024 Management Report pp.111-125. Currency-adjusted = constant FX.</t>
  </si>
  <si>
    <t xml:space="preserve">Chart Data (Revenue by Type)</t>
  </si>
  <si>
    <t xml:space="preserve">Year</t>
  </si>
  <si>
    <t xml:space="preserve">Subscription/SaaS</t>
  </si>
  <si>
    <t xml:space="preserve">Maintenance</t>
  </si>
  <si>
    <t xml:space="preserve">Software Licenses</t>
  </si>
  <si>
    <t xml:space="preserve">Consulting &amp; HW</t>
  </si>
  <si>
    <t xml:space="preserve">FY2024 (€m)</t>
  </si>
  <si>
    <t xml:space="preserve">Europe ex-DE</t>
  </si>
  <si>
    <t xml:space="preserve">RECURRING REVENUE &amp; SUBSCRIPTION TRANSITION</t>
  </si>
  <si>
    <t xml:space="preserve">1. SUBSCRIPTION TRANSITION ANALYSIS</t>
  </si>
  <si>
    <t xml:space="preserve">CAGR/Δ</t>
  </si>
  <si>
    <t xml:space="preserve">  Subscription/SaaS (€m)</t>
  </si>
  <si>
    <t xml:space="preserve">  Maintenance (€m)</t>
  </si>
  <si>
    <t xml:space="preserve">Software Licenses (€m)</t>
  </si>
  <si>
    <t xml:space="preserve">Consulting &amp; HW (€m)</t>
  </si>
  <si>
    <t xml:space="preserve">Recurring % of Total</t>
  </si>
  <si>
    <t xml:space="preserve">Sub/SaaS % of Total</t>
  </si>
  <si>
    <t xml:space="preserve">Sub/SaaS % of Recurring</t>
  </si>
  <si>
    <t xml:space="preserve">Maintenance % of Recurring</t>
  </si>
  <si>
    <t xml:space="preserve">License % of Total</t>
  </si>
  <si>
    <t xml:space="preserve">YoY Growth:</t>
  </si>
  <si>
    <t xml:space="preserve">  Total Revenue</t>
  </si>
  <si>
    <t xml:space="preserve">2. ANNUAL RECURRING REVENUE (ARR)</t>
  </si>
  <si>
    <t xml:space="preserve">Note</t>
  </si>
  <si>
    <t xml:space="preserve">ARR (€m)</t>
  </si>
  <si>
    <t xml:space="preserve">Run-rate annualized recurring rev</t>
  </si>
  <si>
    <t xml:space="preserve">ARR YoY Growth</t>
  </si>
  <si>
    <t xml:space="preserve">ARR / Revenue</t>
  </si>
  <si>
    <t xml:space="preserve">ARR &gt; Revenue = growth embedded</t>
  </si>
  <si>
    <t xml:space="preserve">FY24 ARR Growth Detail:</t>
  </si>
  <si>
    <t xml:space="preserve">  Total ARR Growth (nominal)</t>
  </si>
  <si>
    <t xml:space="preserve">AR24 Mgmt Report</t>
  </si>
  <si>
    <t xml:space="preserve">  Organic ARR Growth</t>
  </si>
  <si>
    <t xml:space="preserve">Excl GoCanvas</t>
  </si>
  <si>
    <t xml:space="preserve">  Organic ARR Growth (ca)</t>
  </si>
  <si>
    <t xml:space="preserve">Currency-adjusted</t>
  </si>
  <si>
    <t xml:space="preserve">3. DEFERRED REVENUE (Forward Visibility)</t>
  </si>
  <si>
    <t xml:space="preserve">Deferred Revenue — Total (€m)</t>
  </si>
  <si>
    <t xml:space="preserve">Contract liabilities</t>
  </si>
  <si>
    <t xml:space="preserve">  Short-term (€m)</t>
  </si>
  <si>
    <t xml:space="preserve">Current liabilities</t>
  </si>
  <si>
    <t xml:space="preserve">  Long-term (€m)</t>
  </si>
  <si>
    <t xml:space="preserve">Non-current liabilities</t>
  </si>
  <si>
    <t xml:space="preserve">Deferred Rev / Revenue</t>
  </si>
  <si>
    <t xml:space="preserve">Forward visibility indicator</t>
  </si>
  <si>
    <t xml:space="preserve">Deferred Rev Growth</t>
  </si>
  <si>
    <t xml:space="preserve">FY24 YoY +42.2%</t>
  </si>
  <si>
    <t xml:space="preserve">Revenue Recognized from Prior Yr</t>
  </si>
  <si>
    <t xml:space="preserve">Of 271.2M opening, 265.1M recognized</t>
  </si>
  <si>
    <t xml:space="preserve">Recognition Rate</t>
  </si>
  <si>
    <t xml:space="preserve">High conversion of backlog</t>
  </si>
  <si>
    <t xml:space="preserve">ARR</t>
  </si>
  <si>
    <t xml:space="preserve">SEGMENT DEEP DIVE</t>
  </si>
  <si>
    <t xml:space="preserve">1. SEGMENT REVENUE (€m)</t>
  </si>
  <si>
    <t xml:space="preserve">Segment</t>
  </si>
  <si>
    <t xml:space="preserve">FY24 YoY</t>
  </si>
  <si>
    <t xml:space="preserve">Design</t>
  </si>
  <si>
    <t xml:space="preserve">Build</t>
  </si>
  <si>
    <t xml:space="preserve">Manage</t>
  </si>
  <si>
    <t xml:space="preserve">Media &amp; Entertainment</t>
  </si>
  <si>
    <t xml:space="preserve">Total</t>
  </si>
  <si>
    <t xml:space="preserve">2. SEGMENT REVENUE SHARE (%)</t>
  </si>
  <si>
    <t xml:space="preserve">Media</t>
  </si>
  <si>
    <t xml:space="preserve">3. SEGMENT EBITDA &amp; MARGINS (FY23-FY24)</t>
  </si>
  <si>
    <t xml:space="preserve">FY23 Rev</t>
  </si>
  <si>
    <t xml:space="preserve">FY23 EBITDA</t>
  </si>
  <si>
    <t xml:space="preserve">FY23 Margin</t>
  </si>
  <si>
    <t xml:space="preserve">FY24 Rev</t>
  </si>
  <si>
    <t xml:space="preserve">FY24 EBITDA</t>
  </si>
  <si>
    <t xml:space="preserve">FY24 Margin</t>
  </si>
  <si>
    <t xml:space="preserve">Group Total</t>
  </si>
  <si>
    <t xml:space="preserve">4. FY2024 ORGANIC vs INORGANIC GROWTH BY SEGMENT</t>
  </si>
  <si>
    <t xml:space="preserve">Total Growth</t>
  </si>
  <si>
    <t xml:space="preserve">Organic Growth</t>
  </si>
  <si>
    <t xml:space="preserve">M&amp;A Impact</t>
  </si>
  <si>
    <t xml:space="preserve">Key Brand(s)</t>
  </si>
  <si>
    <t xml:space="preserve">Vectorworks Japan</t>
  </si>
  <si>
    <t xml:space="preserve">Vectorworks, Allplan, Graphisoft</t>
  </si>
  <si>
    <t xml:space="preserve">Margin improving</t>
  </si>
  <si>
    <t xml:space="preserve">GoCanvas</t>
  </si>
  <si>
    <t xml:space="preserve">Bluebeam, GoCanvas</t>
  </si>
  <si>
    <t xml:space="preserve">GoCanvas dilutive</t>
  </si>
  <si>
    <t xml:space="preserve">None</t>
  </si>
  <si>
    <t xml:space="preserve">Spacewell</t>
  </si>
  <si>
    <t xml:space="preserve">Turnaround in progress</t>
  </si>
  <si>
    <t xml:space="preserve">Maxon consolidation</t>
  </si>
  <si>
    <t xml:space="preserve">Maxon (Cinema 4D, Redshift)</t>
  </si>
  <si>
    <t xml:space="preserve">Organic flat</t>
  </si>
  <si>
    <t xml:space="preserve">5. COST STRUCTURE (FY2024 vs FY2023)</t>
  </si>
  <si>
    <t xml:space="preserve">Cost Category</t>
  </si>
  <si>
    <t xml:space="preserve">FY2023 (€m)</t>
  </si>
  <si>
    <t xml:space="preserve">FY2023 %</t>
  </si>
  <si>
    <t xml:space="preserve">FY2024 %</t>
  </si>
  <si>
    <t xml:space="preserve">Change %</t>
  </si>
  <si>
    <t xml:space="preserve">Personnel</t>
  </si>
  <si>
    <t xml:space="preserve">Largest cost item</t>
  </si>
  <si>
    <t xml:space="preserve">Other Operating</t>
  </si>
  <si>
    <t xml:space="preserve">Includes cloud/hosting</t>
  </si>
  <si>
    <t xml:space="preserve">D&amp;A</t>
  </si>
  <si>
    <t xml:space="preserve">Incl PPA amort €36.7M</t>
  </si>
  <si>
    <t xml:space="preserve">COGS</t>
  </si>
  <si>
    <t xml:space="preserve">Total OpEx</t>
  </si>
  <si>
    <t xml:space="preserve">FY2023</t>
  </si>
  <si>
    <t xml:space="preserve">QUALITY METRICS &amp; BALANCE SHEET</t>
  </si>
  <si>
    <t xml:space="preserve">1. CASH CONVERSION ANALYSIS</t>
  </si>
  <si>
    <t xml:space="preserve">Target: &gt;100%</t>
  </si>
  <si>
    <t xml:space="preserve">FCF (reported, €m)</t>
  </si>
  <si>
    <t xml:space="preserve">FY24 negative due to GoCanvas</t>
  </si>
  <si>
    <t xml:space="preserve">Underlying cash generation</t>
  </si>
  <si>
    <t xml:space="preserve">FCF pre-M&amp;A / Net Income</t>
  </si>
  <si>
    <t xml:space="preserve">Strong underlying conversion</t>
  </si>
  <si>
    <t xml:space="preserve">Capital Expenditure (€m)</t>
  </si>
  <si>
    <t xml:space="preserve">Low capex = asset-light model</t>
  </si>
  <si>
    <t xml:space="preserve">Capex / Revenue</t>
  </si>
  <si>
    <t xml:space="preserve">~1.4% — very low</t>
  </si>
  <si>
    <t xml:space="preserve">2. WORKING CAPITAL &amp; DSO</t>
  </si>
  <si>
    <t xml:space="preserve">Trade Receivables (net, €m)</t>
  </si>
  <si>
    <t xml:space="preserve">⚠ Increased 42.7→54.0</t>
  </si>
  <si>
    <t xml:space="preserve">Trade Rec Growth</t>
  </si>
  <si>
    <t xml:space="preserve">+48% vs rev +16.9%</t>
  </si>
  <si>
    <t xml:space="preserve">Deferred Revenue (€m)</t>
  </si>
  <si>
    <t xml:space="preserve">Pre-paid / forward visibility</t>
  </si>
  <si>
    <t xml:space="preserve">Def Rev / Revenue</t>
  </si>
  <si>
    <t xml:space="preserve">Increasing = positive signal</t>
  </si>
  <si>
    <t xml:space="preserve">Def Rev Growth</t>
  </si>
  <si>
    <t xml:space="preserve">+42.2% incl GoCanvas</t>
  </si>
  <si>
    <t xml:space="preserve">3. BALANCE SHEET HEALTH</t>
  </si>
  <si>
    <t xml:space="preserve">Cash &amp; Equivalents (€m)</t>
  </si>
  <si>
    <t xml:space="preserve">LT Borrowings (€m)</t>
  </si>
  <si>
    <t xml:space="preserve">Jumped to €500M for GoCanvas</t>
  </si>
  <si>
    <t xml:space="preserve">Net Cash / (Debt) (€m)</t>
  </si>
  <si>
    <t xml:space="preserve">⚠ Flipped to net debt</t>
  </si>
  <si>
    <t xml:space="preserve">Goodwill (€m)</t>
  </si>
  <si>
    <t xml:space="preserve">+€583M from GoCanvas</t>
  </si>
  <si>
    <t xml:space="preserve">Total Assets (€m)</t>
  </si>
  <si>
    <t xml:space="preserve">Goodwill / Total Assets</t>
  </si>
  <si>
    <t xml:space="preserve">Increased 43%→53%</t>
  </si>
  <si>
    <t xml:space="preserve">Total Equity (€m)</t>
  </si>
  <si>
    <t xml:space="preserve">⚠ Decreased 61%→44%</t>
  </si>
  <si>
    <t xml:space="preserve">LT Debt / Equity</t>
  </si>
  <si>
    <t xml:space="preserve">Leverage increased materially</t>
  </si>
  <si>
    <t xml:space="preserve">Year-end Headcount</t>
  </si>
  <si>
    <t xml:space="preserve">+465 YE (+13.6%)</t>
  </si>
  <si>
    <t xml:space="preserve">Revenue / Employee (€k)</t>
  </si>
  <si>
    <t xml:space="preserve">Improving efficiency</t>
  </si>
  <si>
    <t xml:space="preserve">4. PROFITABILITY MARGINS (5-YEAR TREND)</t>
  </si>
  <si>
    <t xml:space="preserve">Trend</t>
  </si>
  <si>
    <t xml:space="preserve">Gross Margin</t>
  </si>
  <si>
    <t xml:space="preserve">~96% — pure software</t>
  </si>
  <si>
    <t xml:space="preserve">Stable ~30%</t>
  </si>
  <si>
    <t xml:space="preserve">~23.5%</t>
  </si>
  <si>
    <t xml:space="preserve">~18%</t>
  </si>
  <si>
    <t xml:space="preserve">Effective Tax Rate</t>
  </si>
  <si>
    <t xml:space="preserve">~20-22%</t>
  </si>
  <si>
    <t xml:space="preserve">Organic EBITDA Margin (FY24)</t>
  </si>
  <si>
    <t xml:space="preserve">GoCanvas EBITDA Margin (H2)</t>
  </si>
  <si>
    <t xml:space="preserve">Low — expected post-acquisition</t>
  </si>
  <si>
    <t xml:space="preserve">QoE FINDINGS — BIG 4 TRANSACTION SERVICES FORMAT</t>
  </si>
  <si>
    <t xml:space="preserve">Format: Observation → Implication → Management Question → Risk Rating</t>
  </si>
  <si>
    <t xml:space="preserve">#</t>
  </si>
  <si>
    <t xml:space="preserve">Observation</t>
  </si>
  <si>
    <t xml:space="preserve">Implication</t>
  </si>
  <si>
    <t xml:space="preserve">Management Question</t>
  </si>
  <si>
    <t xml:space="preserve">Risk</t>
  </si>
  <si>
    <t xml:space="preserve">Recurring revenue reached 86.5% of total in FY24 (up from 60.2% in FY20). Subscription/SaaS grew at 58.6% CAGR, now representing 57.0% of total revenue and 65.9% of recurring revenue.</t>
  </si>
  <si>
    <t xml:space="preserve">Revenue base is increasingly predictable and contracted. The subscription transition is well advanced, significantly reducing reliance on lumpy perpetual license sales. This supports higher valuation multiples.</t>
  </si>
  <si>
    <t xml:space="preserve">What is the remaining perpetual license base timeline for full conversion? Which customer segments still prefer perpetual?</t>
  </si>
  <si>
    <t xml:space="preserve">LOW</t>
  </si>
  <si>
    <t xml:space="preserve">ARR Momentum</t>
  </si>
  <si>
    <t xml:space="preserve">ARR reached €1,020M in FY24 (+41.9% YoY), exceeding reported revenue of €996M. Organic ARR growth was 34.6%. ARR/Revenue ratio of 1.02x indicates embedded forward growth.</t>
  </si>
  <si>
    <t xml:space="preserve">ARR above reported revenue is a strong quality signal — it means the run-rate of contracted recurring revenue already exceeds what was recognized in the period. This 'ARR overhang' provides near-term growth visibility.</t>
  </si>
  <si>
    <t xml:space="preserve">What proportion of ARR is from multi-year contracts vs annual renewals? What is the net revenue retention rate?</t>
  </si>
  <si>
    <t xml:space="preserve">GoCanvas Acquisition</t>
  </si>
  <si>
    <t xml:space="preserve">GoCanvas was acquired for €665M (Jul 2024), with goodwill of €535M (80% of price). Post-acquisition: 6-month revenue of €27.5M (€60.7M pro-forma full-year), EBITDA of €5.5M (20.0% margin vs pro-forma 4.5% full-year margin).</t>
  </si>
  <si>
    <t xml:space="preserve">Acquisition represents a significant strategic bet on digitizing field operations in the Build segment. The high goodwill-to-price ratio and low EBITDA margin indicate integration execution risk. €500M in new LT borrowings materially changed the balance sheet.</t>
  </si>
  <si>
    <t xml:space="preserve">What are the synergy targets and timeline? What is the path to 30%+ EBITDA margin for GoCanvas? How does GoCanvas integrate with Bluebeam?</t>
  </si>
  <si>
    <t xml:space="preserve">HIGH</t>
  </si>
  <si>
    <t xml:space="preserve">Balance Sheet Leverage</t>
  </si>
  <si>
    <t xml:space="preserve">LT borrowings increased from €0.1M to €500M; equity ratio decreased from 61.4% to 44.2%; net cash position flipped to net debt of ~€295M. Goodwill/total assets ratio increased from 43.3% to 53.1%.</t>
  </si>
  <si>
    <t xml:space="preserve">The balance sheet has materially changed from a net cash to a net debt position. While the debt is manageable given €307M operating cash flow, it reduces financial flexibility and increases exposure to interest rate and integration risk.</t>
  </si>
  <si>
    <t xml:space="preserve">What are the debt covenants and maturity profile? What is the deleveraging timeline? Is further M&amp;A planned before debt reduction?</t>
  </si>
  <si>
    <t xml:space="preserve">MEDIUM</t>
  </si>
  <si>
    <t xml:space="preserve">DSO Deterioration</t>
  </si>
  <si>
    <t xml:space="preserve">Trade receivables (net) increased 48% (€99.6M → €147.4M) while revenue grew only 16.9%. DSO increased from 42.7 to 54.0 days (+11.3 days). Gross receivables allowance doubled from €3.9M to €8.6M.</t>
  </si>
  <si>
    <t xml:space="preserve">DSO increase outpacing revenue growth may signal collection challenges, customer payment term extensions, or GoCanvas portfolio integration effects. The doubling of the bad debt allowance warrants monitoring.</t>
  </si>
  <si>
    <t xml:space="preserve">How much of the DSO increase is attributable to GoCanvas? What is the aging profile of receivables &gt;90 days? Are payment terms being extended to win competitive deals?</t>
  </si>
  <si>
    <t xml:space="preserve">Subscription Transition Progress</t>
  </si>
  <si>
    <t xml:space="preserve">Software license revenue declined from €235M (29.3% of rev) in FY22 to €101M (10.1%) in FY24. Maintenance was €293M in FY24 (still 34.2% of recurring). The transition accelerated in FY23-24.</t>
  </si>
  <si>
    <t xml:space="preserve">The 'valley of transition' appears to be nearing its trough — license decline is decelerating while subscription growth is accelerating. Maintenance-to-subscription migration represents the next phase of the transition.</t>
  </si>
  <si>
    <t xml:space="preserve">What is the timeline for maintenance-to-subscription migration? Is there a contractual mechanism (sunset dates) or is it purely voluntary? What uplift does subscription pricing provide vs maintenance?</t>
  </si>
  <si>
    <t xml:space="preserve">Profitability Resilience</t>
  </si>
  <si>
    <t xml:space="preserve">Group EBITDA margin has been stable at 28.9-32.6% through the entire transition period. Organic EBITDA margin (excl GoCanvas) was 31.1% in FY24. Cash conversion (OCF/NI) averaged 166% over 5 years.</t>
  </si>
  <si>
    <t xml:space="preserve">Maintaining 30%+ EBITDA margins while executing a major business model transition is a quality signal. It suggests strong pricing power and operational discipline. However, GoCanvas is dilutive at current margins.</t>
  </si>
  <si>
    <t xml:space="preserve">What is the medium-term margin target? What incremental investment is needed for GoCanvas margin improvement? Is there a trade-off between growth and margins?</t>
  </si>
  <si>
    <t xml:space="preserve">Manage Segment Performance</t>
  </si>
  <si>
    <t xml:space="preserve">Manage segment (Spacewell) showed revenue decline of -1.1% in FY24, with EBITDA margin of only 10.2% (up from 3.6% in FY23). This is the only segment with declining/stagnant revenue.</t>
  </si>
  <si>
    <t xml:space="preserve">Manage is the weakest segment, significantly below group average on growth and profitability. While margin improvement is positive, the revenue stagnation raises questions about product-market fit and competitive positioning.</t>
  </si>
  <si>
    <t xml:space="preserve">What is the strategic plan for Manage/Spacewell? Is divestiture being considered? What is the addressable market and competitive landscape for building management software?</t>
  </si>
  <si>
    <t xml:space="preserve">Americas grew from 30.5% (FY20) to 40.4% (FY24) of revenue, while Germany declined from 24.3% to 18.4%. The US is now the single largest market.</t>
  </si>
  <si>
    <t xml:space="preserve">Geographic shift toward the Americas (especially US) provides access to the world's largest AEC software market and reduces European macro concentration. This is structural and aligned with where construction tech investment is growing fastest.</t>
  </si>
  <si>
    <t xml:space="preserve">What is the revenue split within Americas (US vs LatAm vs Canada)? Is there FX hedging in place for USD exposure? What drove the acceleration in Americas growth?</t>
  </si>
  <si>
    <t xml:space="preserve">Management reports 'broad client structure, no concentration risk.' No single customer represents &gt;5% of group revenue. The AEC sector has inherently fragmented demand.</t>
  </si>
  <si>
    <t xml:space="preserve">Low customer concentration is a positive quality signal — it reduces key-man/key-client risk and provides resilient demand through economic cycles. However, it also means no anchor clients for premium services.</t>
  </si>
  <si>
    <t xml:space="preserve">What is the revenue share of the top 10 and top 50 customers? What is the churn rate by customer size?</t>
  </si>
  <si>
    <t xml:space="preserve">RISK SUMMARY</t>
  </si>
  <si>
    <t xml:space="preserve">HIGH Risk Findings:</t>
  </si>
  <si>
    <t xml:space="preserve">1 — GoCanvas acquisition integration &amp; leverage</t>
  </si>
  <si>
    <t xml:space="preserve">MEDIUM Risk Findings:</t>
  </si>
  <si>
    <t xml:space="preserve">3 — Balance sheet leverage, DSO deterioration, Manage segment</t>
  </si>
  <si>
    <t xml:space="preserve">LOW Risk Findings:</t>
  </si>
  <si>
    <t xml:space="preserve">6 — Revenue quality, ARR, subscription transition, profitability, geographic mix, customer concentration</t>
  </si>
  <si>
    <t xml:space="preserve">Overall Assessment:</t>
  </si>
  <si>
    <t xml:space="preserve">FAVORABLE with CAVEATS — Strong recurring revenue quality and subscription transition, offset by GoCanvas integration risk and balance sheet leverage change.</t>
  </si>
</sst>
</file>

<file path=xl/styles.xml><?xml version="1.0" encoding="utf-8"?>
<styleSheet xmlns="http://schemas.openxmlformats.org/spreadsheetml/2006/main">
  <numFmts count="8">
    <numFmt numFmtId="164" formatCode="General"/>
    <numFmt numFmtId="165" formatCode="#,##0.0"/>
    <numFmt numFmtId="166" formatCode="0.0%"/>
    <numFmt numFmtId="167" formatCode="0.00"/>
    <numFmt numFmtId="168" formatCode="0.0"/>
    <numFmt numFmtId="169" formatCode="#,##0"/>
    <numFmt numFmtId="170" formatCode="\+0.0%;\-0.0%"/>
    <numFmt numFmtId="171" formatCode="0%"/>
  </numFmts>
  <fonts count="22">
    <font>
      <sz val="11"/>
      <color theme="1"/>
      <name val="Calibri"/>
      <family val="2"/>
      <charset val="1"/>
    </font>
    <font>
      <sz val="10"/>
      <name val="Arial"/>
      <family val="0"/>
    </font>
    <font>
      <sz val="10"/>
      <name val="Arial"/>
      <family val="0"/>
    </font>
    <font>
      <sz val="10"/>
      <name val="Arial"/>
      <family val="0"/>
    </font>
    <font>
      <b val="true"/>
      <sz val="28"/>
      <color rgb="FFFFFFFF"/>
      <name val="Arial"/>
      <family val="0"/>
      <charset val="1"/>
    </font>
    <font>
      <sz val="18"/>
      <color rgb="FFFFFFFF"/>
      <name val="Arial"/>
      <family val="0"/>
      <charset val="1"/>
    </font>
    <font>
      <sz val="12"/>
      <color rgb="FFB0C4DE"/>
      <name val="Arial"/>
      <family val="0"/>
      <charset val="1"/>
    </font>
    <font>
      <sz val="11"/>
      <color rgb="FFB0C4DE"/>
      <name val="Arial"/>
      <family val="0"/>
      <charset val="1"/>
    </font>
    <font>
      <b val="true"/>
      <sz val="14"/>
      <color rgb="FF2C3E6B"/>
      <name val="Arial"/>
      <family val="0"/>
      <charset val="1"/>
    </font>
    <font>
      <b val="true"/>
      <sz val="10"/>
      <color rgb="FF404040"/>
      <name val="Arial"/>
      <family val="0"/>
      <charset val="1"/>
    </font>
    <font>
      <sz val="10"/>
      <color rgb="FF404040"/>
      <name val="Arial"/>
      <family val="0"/>
      <charset val="1"/>
    </font>
    <font>
      <i val="true"/>
      <sz val="9"/>
      <color rgb="FF808080"/>
      <name val="Arial"/>
      <family val="0"/>
      <charset val="1"/>
    </font>
    <font>
      <i val="true"/>
      <sz val="8"/>
      <color rgb="FF808080"/>
      <name val="Arial"/>
      <family val="0"/>
      <charset val="1"/>
    </font>
    <font>
      <b val="true"/>
      <sz val="10"/>
      <color rgb="FF4472C4"/>
      <name val="Arial"/>
      <family val="0"/>
      <charset val="1"/>
    </font>
    <font>
      <b val="true"/>
      <sz val="16"/>
      <color rgb="FFFFFFFF"/>
      <name val="Arial"/>
      <family val="0"/>
      <charset val="1"/>
    </font>
    <font>
      <sz val="10"/>
      <color rgb="FFFFFFFF"/>
      <name val="Arial"/>
      <family val="0"/>
      <charset val="1"/>
    </font>
    <font>
      <b val="true"/>
      <sz val="12"/>
      <color rgb="FF2C3E6B"/>
      <name val="Arial"/>
      <family val="0"/>
      <charset val="1"/>
    </font>
    <font>
      <b val="true"/>
      <sz val="10"/>
      <color rgb="FFFFFFFF"/>
      <name val="Arial"/>
      <family val="0"/>
      <charset val="1"/>
    </font>
    <font>
      <sz val="10"/>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s>
  <fills count="8">
    <fill>
      <patternFill patternType="none"/>
    </fill>
    <fill>
      <patternFill patternType="gray125"/>
    </fill>
    <fill>
      <patternFill patternType="solid">
        <fgColor rgb="FF1B2A4A"/>
        <bgColor rgb="FF2C3E6B"/>
      </patternFill>
    </fill>
    <fill>
      <patternFill patternType="solid">
        <fgColor rgb="FF2C3E6B"/>
        <bgColor rgb="FF404040"/>
      </patternFill>
    </fill>
    <fill>
      <patternFill patternType="solid">
        <fgColor rgb="FFF2F2F2"/>
        <bgColor rgb="FFF9F9F9"/>
      </patternFill>
    </fill>
    <fill>
      <patternFill patternType="solid">
        <fgColor rgb="FF27AE60"/>
        <bgColor rgb="FF70AD47"/>
      </patternFill>
    </fill>
    <fill>
      <patternFill patternType="solid">
        <fgColor rgb="FFF39C12"/>
        <bgColor rgb="FFE67E22"/>
      </patternFill>
    </fill>
    <fill>
      <patternFill patternType="solid">
        <fgColor rgb="FFE74C3C"/>
        <bgColor rgb="FFC0392B"/>
      </patternFill>
    </fill>
  </fills>
  <borders count="3">
    <border diagonalUp="false" diagonalDown="false">
      <left/>
      <right/>
      <top/>
      <bottom/>
      <diagonal/>
    </border>
    <border diagonalUp="false" diagonalDown="false">
      <left/>
      <right/>
      <top/>
      <bottom style="medium">
        <color rgb="FF4472C4"/>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left" vertical="center" textRotation="0" wrapText="true" indent="0" shrinkToFit="false"/>
      <protection locked="true" hidden="false"/>
    </xf>
    <xf numFmtId="164" fontId="15" fillId="3" borderId="0" xfId="0" applyFont="true" applyBorder="true" applyAlignment="fals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7" fillId="2" borderId="2"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true" applyProtection="false">
      <alignment horizontal="left" vertical="center" textRotation="0" wrapText="true" indent="0" shrinkToFit="false"/>
      <protection locked="true" hidden="false"/>
    </xf>
    <xf numFmtId="165" fontId="9" fillId="0" borderId="2" xfId="0" applyFont="true" applyBorder="true" applyAlignment="true" applyProtection="false">
      <alignment horizontal="right" vertical="center" textRotation="0" wrapText="false" indent="0" shrinkToFit="false"/>
      <protection locked="true" hidden="false"/>
    </xf>
    <xf numFmtId="166" fontId="9" fillId="0" borderId="2" xfId="0" applyFont="true" applyBorder="true" applyAlignment="true" applyProtection="false">
      <alignment horizontal="right" vertical="center" textRotation="0" wrapText="false" indent="0" shrinkToFit="false"/>
      <protection locked="true" hidden="false"/>
    </xf>
    <xf numFmtId="164" fontId="10" fillId="4" borderId="2" xfId="0" applyFont="true" applyBorder="true" applyAlignment="true" applyProtection="false">
      <alignment horizontal="left" vertical="center" textRotation="0" wrapText="true" indent="0" shrinkToFit="false"/>
      <protection locked="true" hidden="false"/>
    </xf>
    <xf numFmtId="166" fontId="10" fillId="4" borderId="2" xfId="0" applyFont="true" applyBorder="true" applyAlignment="true" applyProtection="false">
      <alignment horizontal="right" vertical="center" textRotation="0" wrapText="false" indent="0" shrinkToFit="false"/>
      <protection locked="true" hidden="false"/>
    </xf>
    <xf numFmtId="164" fontId="10" fillId="4" borderId="2" xfId="0" applyFont="true" applyBorder="true" applyAlignment="true" applyProtection="false">
      <alignment horizontal="right" vertical="center" textRotation="0" wrapText="false" indent="0" shrinkToFit="false"/>
      <protection locked="true" hidden="false"/>
    </xf>
    <xf numFmtId="164" fontId="9" fillId="4" borderId="2" xfId="0" applyFont="true" applyBorder="true" applyAlignment="true" applyProtection="false">
      <alignment horizontal="left" vertical="center" textRotation="0" wrapText="true" indent="0" shrinkToFit="false"/>
      <protection locked="true" hidden="false"/>
    </xf>
    <xf numFmtId="165" fontId="9" fillId="4" borderId="2" xfId="0" applyFont="true" applyBorder="true" applyAlignment="true" applyProtection="false">
      <alignment horizontal="right" vertical="center" textRotation="0" wrapText="false" indent="0" shrinkToFit="false"/>
      <protection locked="true" hidden="false"/>
    </xf>
    <xf numFmtId="166" fontId="9" fillId="4" borderId="2" xfId="0" applyFont="true" applyBorder="true" applyAlignment="true" applyProtection="false">
      <alignment horizontal="right" vertical="center" textRotation="0" wrapText="false" indent="0" shrinkToFit="false"/>
      <protection locked="true" hidden="false"/>
    </xf>
    <xf numFmtId="167" fontId="9" fillId="4" borderId="2" xfId="0" applyFont="true" applyBorder="true" applyAlignment="true" applyProtection="false">
      <alignment horizontal="right" vertical="center" textRotation="0" wrapText="false" indent="0" shrinkToFit="false"/>
      <protection locked="true" hidden="false"/>
    </xf>
    <xf numFmtId="164" fontId="10" fillId="0" borderId="2" xfId="0" applyFont="true" applyBorder="true" applyAlignment="true" applyProtection="false">
      <alignment horizontal="left" vertical="center" textRotation="0" wrapText="true" indent="0" shrinkToFit="false"/>
      <protection locked="true" hidden="false"/>
    </xf>
    <xf numFmtId="164" fontId="10" fillId="0" borderId="2" xfId="0" applyFont="true" applyBorder="true" applyAlignment="true" applyProtection="false">
      <alignment horizontal="right" vertical="center" textRotation="0" wrapText="false" indent="0" shrinkToFit="false"/>
      <protection locked="true" hidden="false"/>
    </xf>
    <xf numFmtId="164" fontId="10" fillId="5" borderId="2" xfId="0" applyFont="true" applyBorder="true" applyAlignment="true" applyProtection="false">
      <alignment horizontal="right" vertical="center" textRotation="0" wrapText="false" indent="0" shrinkToFit="false"/>
      <protection locked="true" hidden="false"/>
    </xf>
    <xf numFmtId="164" fontId="10" fillId="6" borderId="2" xfId="0" applyFont="true" applyBorder="true" applyAlignment="true" applyProtection="false">
      <alignment horizontal="right" vertical="center" textRotation="0" wrapText="false" indent="0" shrinkToFit="false"/>
      <protection locked="true" hidden="false"/>
    </xf>
    <xf numFmtId="164" fontId="14" fillId="2" borderId="0" xfId="0" applyFont="true" applyBorder="true" applyAlignment="fals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right" vertical="center" textRotation="0" wrapText="false" indent="0" shrinkToFit="false"/>
      <protection locked="true" hidden="false"/>
    </xf>
    <xf numFmtId="165" fontId="10" fillId="4" borderId="2" xfId="0" applyFont="true" applyBorder="true" applyAlignment="true" applyProtection="false">
      <alignment horizontal="right" vertical="center" textRotation="0" wrapText="false" indent="0" shrinkToFit="false"/>
      <protection locked="true" hidden="false"/>
    </xf>
    <xf numFmtId="165" fontId="10" fillId="0" borderId="2" xfId="0" applyFont="true" applyBorder="true" applyAlignment="true" applyProtection="false">
      <alignment horizontal="right" vertical="center" textRotation="0" wrapText="false" indent="0" shrinkToFit="false"/>
      <protection locked="true" hidden="false"/>
    </xf>
    <xf numFmtId="166" fontId="10" fillId="0" borderId="2" xfId="0" applyFont="true" applyBorder="true" applyAlignment="true" applyProtection="false">
      <alignment horizontal="right" vertical="center" textRotation="0" wrapText="false" indent="0" shrinkToFit="false"/>
      <protection locked="true" hidden="false"/>
    </xf>
    <xf numFmtId="164" fontId="9" fillId="4" borderId="2" xfId="0" applyFont="true" applyBorder="true" applyAlignment="true" applyProtection="false">
      <alignment horizontal="right" vertical="center" textRotation="0" wrapText="false" indent="0" shrinkToFit="false"/>
      <protection locked="true" hidden="false"/>
    </xf>
    <xf numFmtId="167" fontId="10" fillId="4" borderId="2" xfId="0" applyFont="true" applyBorder="true" applyAlignment="true" applyProtection="false">
      <alignment horizontal="right" vertical="center" textRotation="0" wrapText="false" indent="0" shrinkToFit="false"/>
      <protection locked="true" hidden="false"/>
    </xf>
    <xf numFmtId="168" fontId="10" fillId="0" borderId="2" xfId="0" applyFont="true" applyBorder="true" applyAlignment="true" applyProtection="false">
      <alignment horizontal="right" vertical="center" textRotation="0" wrapText="false" indent="0" shrinkToFit="false"/>
      <protection locked="true" hidden="false"/>
    </xf>
    <xf numFmtId="169" fontId="10" fillId="4" borderId="2" xfId="0" applyFont="true" applyBorder="true" applyAlignment="true" applyProtection="false">
      <alignment horizontal="right" vertical="center" textRotation="0" wrapText="false" indent="0" shrinkToFit="false"/>
      <protection locked="true" hidden="false"/>
    </xf>
    <xf numFmtId="165" fontId="18" fillId="0" borderId="0" xfId="0" applyFont="true" applyBorder="false" applyAlignment="false" applyProtection="false">
      <alignment horizontal="general" vertical="bottom" textRotation="0" wrapText="false" indent="0" shrinkToFit="false"/>
      <protection locked="true" hidden="false"/>
    </xf>
    <xf numFmtId="170" fontId="10" fillId="4" borderId="2" xfId="0" applyFont="true" applyBorder="true" applyAlignment="true" applyProtection="false">
      <alignment horizontal="right" vertical="center" textRotation="0" wrapText="false" indent="0" shrinkToFit="false"/>
      <protection locked="true" hidden="false"/>
    </xf>
    <xf numFmtId="170" fontId="10" fillId="0" borderId="2" xfId="0" applyFont="true" applyBorder="true" applyAlignment="true" applyProtection="false">
      <alignment horizontal="right" vertical="center" textRotation="0" wrapText="false" indent="0" shrinkToFit="false"/>
      <protection locked="true" hidden="false"/>
    </xf>
    <xf numFmtId="169" fontId="10" fillId="0" borderId="2" xfId="0" applyFont="true" applyBorder="true" applyAlignment="true" applyProtection="false">
      <alignment horizontal="right" vertical="center" textRotation="0" wrapText="fals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false" applyProtection="false">
      <alignment horizontal="general" vertical="bottom" textRotation="0" wrapText="false" indent="0" shrinkToFit="false"/>
      <protection locked="true" hidden="false"/>
    </xf>
    <xf numFmtId="164" fontId="10" fillId="0" borderId="2" xfId="0" applyFont="true" applyBorder="true" applyAlignment="true" applyProtection="false">
      <alignment horizontal="general" vertical="top" textRotation="0" wrapText="true" indent="0" shrinkToFit="false"/>
      <protection locked="true" hidden="false"/>
    </xf>
    <xf numFmtId="164" fontId="17" fillId="5" borderId="2" xfId="0" applyFont="true" applyBorder="true" applyAlignment="true" applyProtection="false">
      <alignment horizontal="center" vertical="center" textRotation="0" wrapText="true" indent="0" shrinkToFit="false"/>
      <protection locked="true" hidden="false"/>
    </xf>
    <xf numFmtId="164" fontId="9" fillId="4" borderId="2" xfId="0" applyFont="true" applyBorder="true" applyAlignment="true" applyProtection="false">
      <alignment horizontal="center" vertical="center" textRotation="0" wrapText="true" indent="0" shrinkToFit="false"/>
      <protection locked="true" hidden="false"/>
    </xf>
    <xf numFmtId="164" fontId="9" fillId="4" borderId="2" xfId="0" applyFont="true" applyBorder="true" applyAlignment="false" applyProtection="false">
      <alignment horizontal="general" vertical="bottom" textRotation="0" wrapText="false" indent="0" shrinkToFit="false"/>
      <protection locked="true" hidden="false"/>
    </xf>
    <xf numFmtId="164" fontId="10" fillId="4" borderId="2" xfId="0" applyFont="true" applyBorder="true" applyAlignment="true" applyProtection="false">
      <alignment horizontal="general" vertical="top" textRotation="0" wrapText="true" indent="0" shrinkToFit="false"/>
      <protection locked="true" hidden="false"/>
    </xf>
    <xf numFmtId="164" fontId="17" fillId="7" borderId="2" xfId="0" applyFont="true" applyBorder="true" applyAlignment="true" applyProtection="false">
      <alignment horizontal="center" vertical="center" textRotation="0" wrapText="true" indent="0" shrinkToFit="false"/>
      <protection locked="true" hidden="false"/>
    </xf>
    <xf numFmtId="164" fontId="17" fillId="6" borderId="2"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0C4DE"/>
      <rgbColor rgb="FF808080"/>
      <rgbColor rgb="FFA5A5A5"/>
      <rgbColor rgb="FF9B59B6"/>
      <rgbColor rgb="FFF9F9F9"/>
      <rgbColor rgb="FFF2F2F2"/>
      <rgbColor rgb="FF660066"/>
      <rgbColor rgb="FFE74C3C"/>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70AD47"/>
      <rgbColor rgb="FFFFC000"/>
      <rgbColor rgb="FFF39C12"/>
      <rgbColor rgb="FFE67E22"/>
      <rgbColor rgb="FF4F81BD"/>
      <rgbColor rgb="FF878787"/>
      <rgbColor rgb="FF1B2A4A"/>
      <rgbColor rgb="FF27AE60"/>
      <rgbColor rgb="FF003300"/>
      <rgbColor rgb="FF333300"/>
      <rgbColor rgb="FFC0392B"/>
      <rgbColor rgb="FF993366"/>
      <rgbColor rgb="FF2C3E6B"/>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by Type (€m)</a:t>
            </a:r>
          </a:p>
        </c:rich>
      </c:tx>
      <c:overlay val="0"/>
      <c:spPr>
        <a:noFill/>
        <a:ln w="0">
          <a:noFill/>
        </a:ln>
      </c:spPr>
    </c:title>
    <c:autoTitleDeleted val="0"/>
    <c:plotArea>
      <c:barChart>
        <c:barDir val="col"/>
        <c:grouping val="stacked"/>
        <c:varyColors val="0"/>
        <c:ser>
          <c:idx val="0"/>
          <c:order val="0"/>
          <c:tx>
            <c:strRef>
              <c:f>"Subscription/SaaS"</c:f>
              <c:strCache>
                <c:ptCount val="1"/>
                <c:pt idx="0">
                  <c:v>Subscription/SaaS</c:v>
                </c:pt>
              </c:strCache>
            </c:strRef>
          </c:tx>
          <c:spPr>
            <a:solidFill>
              <a:srgbClr val="4472c4"/>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Revenue_Analysis!$B$61:$F$61</c:f>
              <c:multiLvlStrCache>
                <c:ptCount val="1"/>
                <c:lvl>
                  <c:pt idx="0">
                    <c:v>2024</c:v>
                  </c:pt>
                </c:lvl>
                <c:lvl>
                  <c:pt idx="0">
                    <c:v>2023</c:v>
                  </c:pt>
                </c:lvl>
                <c:lvl>
                  <c:pt idx="0">
                    <c:v>2022</c:v>
                  </c:pt>
                </c:lvl>
                <c:lvl>
                  <c:pt idx="0">
                    <c:v>2021</c:v>
                  </c:pt>
                </c:lvl>
                <c:lvl>
                  <c:pt idx="0">
                    <c:v>2020</c:v>
                  </c:pt>
                </c:lvl>
              </c:multiLvlStrCache>
            </c:multiLvlStrRef>
          </c:cat>
          <c:val>
            <c:numRef>
              <c:f>Revenue_Analysis!$B$62:$F$62</c:f>
              <c:numCache>
                <c:formatCode>General</c:formatCode>
                <c:ptCount val="5"/>
                <c:pt idx="0">
                  <c:v>90.4</c:v>
                </c:pt>
                <c:pt idx="1">
                  <c:v>132</c:v>
                </c:pt>
                <c:pt idx="2">
                  <c:v>204.2</c:v>
                </c:pt>
                <c:pt idx="3">
                  <c:v>301.8</c:v>
                </c:pt>
                <c:pt idx="4">
                  <c:v>567.8</c:v>
                </c:pt>
              </c:numCache>
            </c:numRef>
          </c:val>
        </c:ser>
        <c:ser>
          <c:idx val="1"/>
          <c:order val="1"/>
          <c:tx>
            <c:strRef>
              <c:f>"Maintenance"</c:f>
              <c:strCache>
                <c:ptCount val="1"/>
                <c:pt idx="0">
                  <c:v>Maintenance</c:v>
                </c:pt>
              </c:strCache>
            </c:strRef>
          </c:tx>
          <c:spPr>
            <a:solidFill>
              <a:srgbClr val="70ad47"/>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Revenue_Analysis!$B$61:$F$61</c:f>
              <c:multiLvlStrCache>
                <c:ptCount val="1"/>
                <c:lvl>
                  <c:pt idx="0">
                    <c:v>2024</c:v>
                  </c:pt>
                </c:lvl>
                <c:lvl>
                  <c:pt idx="0">
                    <c:v>2023</c:v>
                  </c:pt>
                </c:lvl>
                <c:lvl>
                  <c:pt idx="0">
                    <c:v>2022</c:v>
                  </c:pt>
                </c:lvl>
                <c:lvl>
                  <c:pt idx="0">
                    <c:v>2021</c:v>
                  </c:pt>
                </c:lvl>
                <c:lvl>
                  <c:pt idx="0">
                    <c:v>2020</c:v>
                  </c:pt>
                </c:lvl>
              </c:multiLvlStrCache>
            </c:multiLvlStrRef>
          </c:cat>
          <c:val>
            <c:numRef>
              <c:f>Revenue_Analysis!$B$63:$F$63</c:f>
              <c:numCache>
                <c:formatCode>General</c:formatCode>
                <c:ptCount val="5"/>
                <c:pt idx="0">
                  <c:v>268.6</c:v>
                </c:pt>
                <c:pt idx="1">
                  <c:v>284.7</c:v>
                </c:pt>
                <c:pt idx="2">
                  <c:v>328.4</c:v>
                </c:pt>
                <c:pt idx="3">
                  <c:v>350.9</c:v>
                </c:pt>
                <c:pt idx="4">
                  <c:v>293.4</c:v>
                </c:pt>
              </c:numCache>
            </c:numRef>
          </c:val>
        </c:ser>
        <c:ser>
          <c:idx val="2"/>
          <c:order val="2"/>
          <c:tx>
            <c:strRef>
              <c:f>"Software Licenses"</c:f>
              <c:strCache>
                <c:ptCount val="1"/>
                <c:pt idx="0">
                  <c:v>Software Licenses</c:v>
                </c:pt>
              </c:strCache>
            </c:strRef>
          </c:tx>
          <c:spPr>
            <a:solidFill>
              <a:srgbClr val="ffc000"/>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Revenue_Analysis!$B$61:$F$61</c:f>
              <c:multiLvlStrCache>
                <c:ptCount val="1"/>
                <c:lvl>
                  <c:pt idx="0">
                    <c:v>2024</c:v>
                  </c:pt>
                </c:lvl>
                <c:lvl>
                  <c:pt idx="0">
                    <c:v>2023</c:v>
                  </c:pt>
                </c:lvl>
                <c:lvl>
                  <c:pt idx="0">
                    <c:v>2022</c:v>
                  </c:pt>
                </c:lvl>
                <c:lvl>
                  <c:pt idx="0">
                    <c:v>2021</c:v>
                  </c:pt>
                </c:lvl>
                <c:lvl>
                  <c:pt idx="0">
                    <c:v>2020</c:v>
                  </c:pt>
                </c:lvl>
              </c:multiLvlStrCache>
            </c:multiLvlStrRef>
          </c:cat>
          <c:val>
            <c:numRef>
              <c:f>Revenue_Analysis!$B$64:$F$64</c:f>
              <c:numCache>
                <c:formatCode>General</c:formatCode>
                <c:ptCount val="5"/>
                <c:pt idx="0">
                  <c:v>210</c:v>
                </c:pt>
                <c:pt idx="1">
                  <c:v>234.8</c:v>
                </c:pt>
                <c:pt idx="2">
                  <c:v>235</c:v>
                </c:pt>
                <c:pt idx="3">
                  <c:v>161.1</c:v>
                </c:pt>
                <c:pt idx="4">
                  <c:v>100.7</c:v>
                </c:pt>
              </c:numCache>
            </c:numRef>
          </c:val>
        </c:ser>
        <c:ser>
          <c:idx val="3"/>
          <c:order val="3"/>
          <c:tx>
            <c:strRef>
              <c:f>"Consulting &amp; HW"</c:f>
              <c:strCache>
                <c:ptCount val="1"/>
                <c:pt idx="0">
                  <c:v>Consulting &amp; HW</c:v>
                </c:pt>
              </c:strCache>
            </c:strRef>
          </c:tx>
          <c:spPr>
            <a:solidFill>
              <a:srgbClr val="a5a5a5"/>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Revenue_Analysis!$B$61:$F$61</c:f>
              <c:multiLvlStrCache>
                <c:ptCount val="1"/>
                <c:lvl>
                  <c:pt idx="0">
                    <c:v>2024</c:v>
                  </c:pt>
                </c:lvl>
                <c:lvl>
                  <c:pt idx="0">
                    <c:v>2023</c:v>
                  </c:pt>
                </c:lvl>
                <c:lvl>
                  <c:pt idx="0">
                    <c:v>2022</c:v>
                  </c:pt>
                </c:lvl>
                <c:lvl>
                  <c:pt idx="0">
                    <c:v>2021</c:v>
                  </c:pt>
                </c:lvl>
                <c:lvl>
                  <c:pt idx="0">
                    <c:v>2020</c:v>
                  </c:pt>
                </c:lvl>
              </c:multiLvlStrCache>
            </c:multiLvlStrRef>
          </c:cat>
          <c:val>
            <c:numRef>
              <c:f>Revenue_Analysis!$B$65:$F$65</c:f>
              <c:numCache>
                <c:formatCode>General</c:formatCode>
                <c:ptCount val="5"/>
                <c:pt idx="0">
                  <c:v>27.9</c:v>
                </c:pt>
                <c:pt idx="1">
                  <c:v>30</c:v>
                </c:pt>
                <c:pt idx="2">
                  <c:v>34.1999999999999</c:v>
                </c:pt>
                <c:pt idx="3">
                  <c:v>37.8</c:v>
                </c:pt>
                <c:pt idx="4">
                  <c:v>33.6999999999999</c:v>
                </c:pt>
              </c:numCache>
            </c:numRef>
          </c:val>
        </c:ser>
        <c:gapWidth val="150"/>
        <c:overlap val="100"/>
        <c:axId val="46078321"/>
        <c:axId val="78304484"/>
      </c:barChart>
      <c:catAx>
        <c:axId val="4607832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304484"/>
        <c:crosses val="autoZero"/>
        <c:auto val="1"/>
        <c:lblAlgn val="ctr"/>
        <c:lblOffset val="100"/>
        <c:noMultiLvlLbl val="0"/>
      </c:catAx>
      <c:valAx>
        <c:axId val="7830448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EUR millions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07832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by Region — FY2024</a:t>
            </a:r>
          </a:p>
        </c:rich>
      </c:tx>
      <c:overlay val="0"/>
      <c:spPr>
        <a:noFill/>
        <a:ln w="0">
          <a:noFill/>
        </a:ln>
      </c:spPr>
    </c:title>
    <c:autoTitleDeleted val="0"/>
    <c:plotArea>
      <c:pieChart>
        <c:varyColors val="1"/>
        <c:ser>
          <c:idx val="0"/>
          <c:order val="0"/>
          <c:tx>
            <c:strRef>
              <c:f>Revenue_Analysis!B80</c:f>
              <c:strCache>
                <c:ptCount val="1"/>
                <c:pt idx="0">
                  <c:v>FY2024 (€m)</c:v>
                </c:pt>
              </c:strCache>
            </c:strRef>
          </c:tx>
          <c:spPr>
            <a:solidFill>
              <a:srgbClr val="4f81bd"/>
            </a:solidFill>
            <a:ln w="9360">
              <a:solidFill>
                <a:srgbClr val="f9f9f9"/>
              </a:solidFill>
              <a:round/>
            </a:ln>
          </c:spPr>
          <c:explosion val="0"/>
          <c:dPt>
            <c:idx val="0"/>
            <c:spPr>
              <a:solidFill>
                <a:srgbClr val="1b2a4a"/>
              </a:solidFill>
              <a:ln w="9360">
                <a:solidFill>
                  <a:srgbClr val="f9f9f9"/>
                </a:solidFill>
                <a:round/>
              </a:ln>
            </c:spPr>
          </c:dPt>
          <c:dPt>
            <c:idx val="1"/>
            <c:spPr>
              <a:solidFill>
                <a:srgbClr val="4472c4"/>
              </a:solidFill>
              <a:ln w="9360">
                <a:solidFill>
                  <a:srgbClr val="f9f9f9"/>
                </a:solidFill>
                <a:round/>
              </a:ln>
            </c:spPr>
          </c:dPt>
          <c:dPt>
            <c:idx val="2"/>
            <c:spPr>
              <a:solidFill>
                <a:srgbClr val="27ae60"/>
              </a:solidFill>
              <a:ln w="9360">
                <a:solidFill>
                  <a:srgbClr val="f9f9f9"/>
                </a:solidFill>
                <a:round/>
              </a:ln>
            </c:spPr>
          </c:dPt>
          <c:dPt>
            <c:idx val="3"/>
            <c:spPr>
              <a:solidFill>
                <a:srgbClr val="e67e22"/>
              </a:solidFill>
              <a:ln w="9360">
                <a:solidFill>
                  <a:srgbClr val="f9f9f9"/>
                </a:solidFill>
                <a:round/>
              </a:ln>
            </c:spPr>
          </c:dPt>
          <c:dPt>
            <c:idx val="4"/>
            <c:spPr>
              <a:solidFill>
                <a:srgbClr val="a5a5a5"/>
              </a:solidFill>
              <a:ln w="9360">
                <a:solidFill>
                  <a:srgbClr val="f9f9f9"/>
                </a:solidFill>
                <a:round/>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4"/>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Revenue_Analysis!$A$81:$A$85</c:f>
              <c:strCache>
                <c:ptCount val="5"/>
                <c:pt idx="0">
                  <c:v>Germany</c:v>
                </c:pt>
                <c:pt idx="1">
                  <c:v>Europe ex-DE</c:v>
                </c:pt>
                <c:pt idx="2">
                  <c:v>Americas</c:v>
                </c:pt>
                <c:pt idx="3">
                  <c:v>Asia/Pacific</c:v>
                </c:pt>
                <c:pt idx="4">
                  <c:v>Rest of World</c:v>
                </c:pt>
              </c:strCache>
            </c:strRef>
          </c:cat>
          <c:val>
            <c:numRef>
              <c:f>Revenue_Analysis!$B$81:$B$85</c:f>
              <c:numCache>
                <c:formatCode>General</c:formatCode>
                <c:ptCount val="5"/>
                <c:pt idx="0">
                  <c:v>183</c:v>
                </c:pt>
                <c:pt idx="1">
                  <c:v>309</c:v>
                </c:pt>
                <c:pt idx="2">
                  <c:v>402.2</c:v>
                </c:pt>
                <c:pt idx="3">
                  <c:v>96.8</c:v>
                </c:pt>
                <c:pt idx="4">
                  <c:v>4.5</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Subscription Transition: Revenue Mix (€m)</a:t>
            </a:r>
          </a:p>
        </c:rich>
      </c:tx>
      <c:overlay val="0"/>
      <c:spPr>
        <a:noFill/>
        <a:ln w="0">
          <a:noFill/>
        </a:ln>
      </c:spPr>
    </c:title>
    <c:autoTitleDeleted val="0"/>
    <c:plotArea>
      <c:barChart>
        <c:barDir val="col"/>
        <c:grouping val="stacked"/>
        <c:varyColors val="0"/>
        <c:ser>
          <c:idx val="0"/>
          <c:order val="0"/>
          <c:tx>
            <c:strRef>
              <c:f>"Subscription/SaaS"</c:f>
              <c:strCache>
                <c:ptCount val="1"/>
                <c:pt idx="0">
                  <c:v>Subscription/SaaS</c:v>
                </c:pt>
              </c:strCache>
            </c:strRef>
          </c:tx>
          <c:spPr>
            <a:solidFill>
              <a:srgbClr val="4472c4"/>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Recurring_Rev!$B$50:$F$50</c:f>
              <c:multiLvlStrCache>
                <c:ptCount val="1"/>
                <c:lvl>
                  <c:pt idx="0">
                    <c:v>2024</c:v>
                  </c:pt>
                </c:lvl>
                <c:lvl>
                  <c:pt idx="0">
                    <c:v>2023</c:v>
                  </c:pt>
                </c:lvl>
                <c:lvl>
                  <c:pt idx="0">
                    <c:v>2022</c:v>
                  </c:pt>
                </c:lvl>
                <c:lvl>
                  <c:pt idx="0">
                    <c:v>2021</c:v>
                  </c:pt>
                </c:lvl>
                <c:lvl>
                  <c:pt idx="0">
                    <c:v>2020</c:v>
                  </c:pt>
                </c:lvl>
              </c:multiLvlStrCache>
            </c:multiLvlStrRef>
          </c:cat>
          <c:val>
            <c:numRef>
              <c:f>Recurring_Rev!$B$51:$F$51</c:f>
              <c:numCache>
                <c:formatCode>General</c:formatCode>
                <c:ptCount val="5"/>
                <c:pt idx="0">
                  <c:v>90.4</c:v>
                </c:pt>
                <c:pt idx="1">
                  <c:v>132</c:v>
                </c:pt>
                <c:pt idx="2">
                  <c:v>204.2</c:v>
                </c:pt>
                <c:pt idx="3">
                  <c:v>301.8</c:v>
                </c:pt>
                <c:pt idx="4">
                  <c:v>567.8</c:v>
                </c:pt>
              </c:numCache>
            </c:numRef>
          </c:val>
        </c:ser>
        <c:ser>
          <c:idx val="1"/>
          <c:order val="1"/>
          <c:tx>
            <c:strRef>
              <c:f>"Maintenance"</c:f>
              <c:strCache>
                <c:ptCount val="1"/>
                <c:pt idx="0">
                  <c:v>Maintenance</c:v>
                </c:pt>
              </c:strCache>
            </c:strRef>
          </c:tx>
          <c:spPr>
            <a:solidFill>
              <a:srgbClr val="70ad47"/>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Recurring_Rev!$B$50:$F$50</c:f>
              <c:multiLvlStrCache>
                <c:ptCount val="1"/>
                <c:lvl>
                  <c:pt idx="0">
                    <c:v>2024</c:v>
                  </c:pt>
                </c:lvl>
                <c:lvl>
                  <c:pt idx="0">
                    <c:v>2023</c:v>
                  </c:pt>
                </c:lvl>
                <c:lvl>
                  <c:pt idx="0">
                    <c:v>2022</c:v>
                  </c:pt>
                </c:lvl>
                <c:lvl>
                  <c:pt idx="0">
                    <c:v>2021</c:v>
                  </c:pt>
                </c:lvl>
                <c:lvl>
                  <c:pt idx="0">
                    <c:v>2020</c:v>
                  </c:pt>
                </c:lvl>
              </c:multiLvlStrCache>
            </c:multiLvlStrRef>
          </c:cat>
          <c:val>
            <c:numRef>
              <c:f>Recurring_Rev!$B$52:$F$52</c:f>
              <c:numCache>
                <c:formatCode>General</c:formatCode>
                <c:ptCount val="5"/>
                <c:pt idx="0">
                  <c:v>268.6</c:v>
                </c:pt>
                <c:pt idx="1">
                  <c:v>284.7</c:v>
                </c:pt>
                <c:pt idx="2">
                  <c:v>328.4</c:v>
                </c:pt>
                <c:pt idx="3">
                  <c:v>350.9</c:v>
                </c:pt>
                <c:pt idx="4">
                  <c:v>293.4</c:v>
                </c:pt>
              </c:numCache>
            </c:numRef>
          </c:val>
        </c:ser>
        <c:ser>
          <c:idx val="2"/>
          <c:order val="2"/>
          <c:tx>
            <c:strRef>
              <c:f>"Software Licenses"</c:f>
              <c:strCache>
                <c:ptCount val="1"/>
                <c:pt idx="0">
                  <c:v>Software Licenses</c:v>
                </c:pt>
              </c:strCache>
            </c:strRef>
          </c:tx>
          <c:spPr>
            <a:solidFill>
              <a:srgbClr val="ffc000"/>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Recurring_Rev!$B$50:$F$50</c:f>
              <c:multiLvlStrCache>
                <c:ptCount val="1"/>
                <c:lvl>
                  <c:pt idx="0">
                    <c:v>2024</c:v>
                  </c:pt>
                </c:lvl>
                <c:lvl>
                  <c:pt idx="0">
                    <c:v>2023</c:v>
                  </c:pt>
                </c:lvl>
                <c:lvl>
                  <c:pt idx="0">
                    <c:v>2022</c:v>
                  </c:pt>
                </c:lvl>
                <c:lvl>
                  <c:pt idx="0">
                    <c:v>2021</c:v>
                  </c:pt>
                </c:lvl>
                <c:lvl>
                  <c:pt idx="0">
                    <c:v>2020</c:v>
                  </c:pt>
                </c:lvl>
              </c:multiLvlStrCache>
            </c:multiLvlStrRef>
          </c:cat>
          <c:val>
            <c:numRef>
              <c:f>Recurring_Rev!$B$53:$F$53</c:f>
              <c:numCache>
                <c:formatCode>General</c:formatCode>
                <c:ptCount val="5"/>
                <c:pt idx="0">
                  <c:v>210</c:v>
                </c:pt>
                <c:pt idx="1">
                  <c:v>234.8</c:v>
                </c:pt>
                <c:pt idx="2">
                  <c:v>235</c:v>
                </c:pt>
                <c:pt idx="3">
                  <c:v>161.1</c:v>
                </c:pt>
                <c:pt idx="4">
                  <c:v>100.7</c:v>
                </c:pt>
              </c:numCache>
            </c:numRef>
          </c:val>
        </c:ser>
        <c:ser>
          <c:idx val="3"/>
          <c:order val="3"/>
          <c:tx>
            <c:strRef>
              <c:f>"Consulting &amp; HW"</c:f>
              <c:strCache>
                <c:ptCount val="1"/>
                <c:pt idx="0">
                  <c:v>Consulting &amp; HW</c:v>
                </c:pt>
              </c:strCache>
            </c:strRef>
          </c:tx>
          <c:spPr>
            <a:solidFill>
              <a:srgbClr val="a5a5a5"/>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Recurring_Rev!$B$50:$F$50</c:f>
              <c:multiLvlStrCache>
                <c:ptCount val="1"/>
                <c:lvl>
                  <c:pt idx="0">
                    <c:v>2024</c:v>
                  </c:pt>
                </c:lvl>
                <c:lvl>
                  <c:pt idx="0">
                    <c:v>2023</c:v>
                  </c:pt>
                </c:lvl>
                <c:lvl>
                  <c:pt idx="0">
                    <c:v>2022</c:v>
                  </c:pt>
                </c:lvl>
                <c:lvl>
                  <c:pt idx="0">
                    <c:v>2021</c:v>
                  </c:pt>
                </c:lvl>
                <c:lvl>
                  <c:pt idx="0">
                    <c:v>2020</c:v>
                  </c:pt>
                </c:lvl>
              </c:multiLvlStrCache>
            </c:multiLvlStrRef>
          </c:cat>
          <c:val>
            <c:numRef>
              <c:f>Recurring_Rev!$B$54:$F$54</c:f>
              <c:numCache>
                <c:formatCode>General</c:formatCode>
                <c:ptCount val="5"/>
                <c:pt idx="0">
                  <c:v>27.9</c:v>
                </c:pt>
                <c:pt idx="1">
                  <c:v>30</c:v>
                </c:pt>
                <c:pt idx="2">
                  <c:v>34.1999999999999</c:v>
                </c:pt>
                <c:pt idx="3">
                  <c:v>37.8</c:v>
                </c:pt>
                <c:pt idx="4">
                  <c:v>33.6999999999999</c:v>
                </c:pt>
              </c:numCache>
            </c:numRef>
          </c:val>
        </c:ser>
        <c:gapWidth val="150"/>
        <c:overlap val="100"/>
        <c:axId val="44531788"/>
        <c:axId val="59085907"/>
      </c:barChart>
      <c:catAx>
        <c:axId val="4453178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085907"/>
        <c:crosses val="autoZero"/>
        <c:auto val="1"/>
        <c:lblAlgn val="ctr"/>
        <c:lblOffset val="100"/>
        <c:noMultiLvlLbl val="0"/>
      </c:catAx>
      <c:valAx>
        <c:axId val="5908590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EUR millions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53178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ARR Trajectory (€m)</a:t>
            </a:r>
          </a:p>
        </c:rich>
      </c:tx>
      <c:overlay val="0"/>
      <c:spPr>
        <a:noFill/>
        <a:ln w="0">
          <a:noFill/>
        </a:ln>
      </c:spPr>
    </c:title>
    <c:autoTitleDeleted val="0"/>
    <c:plotArea>
      <c:lineChart>
        <c:grouping val="standard"/>
        <c:varyColors val="0"/>
        <c:ser>
          <c:idx val="0"/>
          <c:order val="0"/>
          <c:tx>
            <c:strRef>
              <c:f>"ARR"</c:f>
              <c:strCache>
                <c:ptCount val="1"/>
                <c:pt idx="0">
                  <c:v>ARR</c:v>
                </c:pt>
              </c:strCache>
            </c:strRef>
          </c:tx>
          <c:spPr>
            <a:solidFill>
              <a:srgbClr val="4472c4"/>
            </a:solidFill>
            <a:ln w="28080">
              <a:solidFill>
                <a:srgbClr val="4472c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Recurring_Rev!$B$70:$F$70</c:f>
              <c:multiLvlStrCache>
                <c:ptCount val="1"/>
                <c:lvl>
                  <c:pt idx="0">
                    <c:v>2024</c:v>
                  </c:pt>
                </c:lvl>
                <c:lvl>
                  <c:pt idx="0">
                    <c:v>2023</c:v>
                  </c:pt>
                </c:lvl>
                <c:lvl>
                  <c:pt idx="0">
                    <c:v>2022</c:v>
                  </c:pt>
                </c:lvl>
                <c:lvl>
                  <c:pt idx="0">
                    <c:v>2021</c:v>
                  </c:pt>
                </c:lvl>
                <c:lvl>
                  <c:pt idx="0">
                    <c:v>2020</c:v>
                  </c:pt>
                </c:lvl>
              </c:multiLvlStrCache>
            </c:multiLvlStrRef>
          </c:cat>
          <c:val>
            <c:numRef>
              <c:f>Recurring_Rev!$B$71:$F$71</c:f>
              <c:numCache>
                <c:formatCode>General</c:formatCode>
                <c:ptCount val="5"/>
                <c:pt idx="1">
                  <c:v>456.5</c:v>
                </c:pt>
                <c:pt idx="2">
                  <c:v>581.7</c:v>
                </c:pt>
                <c:pt idx="3">
                  <c:v>718.6</c:v>
                </c:pt>
                <c:pt idx="4">
                  <c:v>1019.9</c:v>
                </c:pt>
              </c:numCache>
            </c:numRef>
          </c:val>
          <c:smooth val="1"/>
        </c:ser>
        <c:hiLowLines>
          <c:spPr>
            <a:ln w="0">
              <a:noFill/>
            </a:ln>
          </c:spPr>
        </c:hiLowLines>
        <c:marker val="0"/>
        <c:axId val="92172448"/>
        <c:axId val="4112449"/>
      </c:lineChart>
      <c:catAx>
        <c:axId val="9217244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12449"/>
        <c:crosses val="autoZero"/>
        <c:auto val="1"/>
        <c:lblAlgn val="ctr"/>
        <c:lblOffset val="100"/>
        <c:noMultiLvlLbl val="0"/>
      </c:catAx>
      <c:valAx>
        <c:axId val="411244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EUR millions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17244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by Segment — FY2024</a:t>
            </a:r>
          </a:p>
        </c:rich>
      </c:tx>
      <c:overlay val="0"/>
      <c:spPr>
        <a:noFill/>
        <a:ln w="0">
          <a:noFill/>
        </a:ln>
      </c:spPr>
    </c:title>
    <c:autoTitleDeleted val="0"/>
    <c:plotArea>
      <c:pieChart>
        <c:varyColors val="1"/>
        <c:ser>
          <c:idx val="0"/>
          <c:order val="0"/>
          <c:tx>
            <c:strRef>
              <c:f>Segment_DeepDive!B45</c:f>
              <c:strCache>
                <c:ptCount val="1"/>
                <c:pt idx="0">
                  <c:v>FY2024 (€m)</c:v>
                </c:pt>
              </c:strCache>
            </c:strRef>
          </c:tx>
          <c:spPr>
            <a:solidFill>
              <a:srgbClr val="4f81bd"/>
            </a:solidFill>
            <a:ln w="9360">
              <a:solidFill>
                <a:srgbClr val="f9f9f9"/>
              </a:solidFill>
              <a:round/>
            </a:ln>
          </c:spPr>
          <c:explosion val="0"/>
          <c:dPt>
            <c:idx val="0"/>
            <c:spPr>
              <a:solidFill>
                <a:srgbClr val="4472c4"/>
              </a:solidFill>
              <a:ln w="9360">
                <a:solidFill>
                  <a:srgbClr val="f9f9f9"/>
                </a:solidFill>
                <a:round/>
              </a:ln>
            </c:spPr>
          </c:dPt>
          <c:dPt>
            <c:idx val="1"/>
            <c:spPr>
              <a:solidFill>
                <a:srgbClr val="27ae60"/>
              </a:solidFill>
              <a:ln w="9360">
                <a:solidFill>
                  <a:srgbClr val="f9f9f9"/>
                </a:solidFill>
                <a:round/>
              </a:ln>
            </c:spPr>
          </c:dPt>
          <c:dPt>
            <c:idx val="2"/>
            <c:spPr>
              <a:solidFill>
                <a:srgbClr val="e67e22"/>
              </a:solidFill>
              <a:ln w="9360">
                <a:solidFill>
                  <a:srgbClr val="f9f9f9"/>
                </a:solidFill>
                <a:round/>
              </a:ln>
            </c:spPr>
          </c:dPt>
          <c:dPt>
            <c:idx val="3"/>
            <c:spPr>
              <a:solidFill>
                <a:srgbClr val="9b59b6"/>
              </a:solidFill>
              <a:ln w="9360">
                <a:solidFill>
                  <a:srgbClr val="f9f9f9"/>
                </a:solidFill>
                <a:round/>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Segment_DeepDive!$A$46:$A$49</c:f>
              <c:strCache>
                <c:ptCount val="4"/>
                <c:pt idx="0">
                  <c:v>Design</c:v>
                </c:pt>
                <c:pt idx="1">
                  <c:v>Build</c:v>
                </c:pt>
                <c:pt idx="2">
                  <c:v>Manage</c:v>
                </c:pt>
                <c:pt idx="3">
                  <c:v>Media</c:v>
                </c:pt>
              </c:strCache>
            </c:strRef>
          </c:cat>
          <c:val>
            <c:numRef>
              <c:f>Segment_DeepDive!$B$46:$B$49</c:f>
              <c:numCache>
                <c:formatCode>General</c:formatCode>
                <c:ptCount val="4"/>
                <c:pt idx="0">
                  <c:v>487.6</c:v>
                </c:pt>
                <c:pt idx="1">
                  <c:v>340.7</c:v>
                </c:pt>
                <c:pt idx="2">
                  <c:v>49.9</c:v>
                </c:pt>
                <c:pt idx="3">
                  <c:v>117.4</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EBITDA Margin by Segment: FY2023 vs FY2024</a:t>
            </a:r>
          </a:p>
        </c:rich>
      </c:tx>
      <c:overlay val="0"/>
      <c:spPr>
        <a:noFill/>
        <a:ln w="0">
          <a:noFill/>
        </a:ln>
      </c:spPr>
    </c:title>
    <c:autoTitleDeleted val="0"/>
    <c:plotArea>
      <c:barChart>
        <c:barDir val="col"/>
        <c:grouping val="clustered"/>
        <c:varyColors val="0"/>
        <c:ser>
          <c:idx val="0"/>
          <c:order val="0"/>
          <c:tx>
            <c:strRef>
              <c:f>Segment_DeepDive!E45</c:f>
              <c:strCache>
                <c:ptCount val="1"/>
                <c:pt idx="0">
                  <c:v>FY2023</c:v>
                </c:pt>
              </c:strCache>
            </c:strRef>
          </c:tx>
          <c:spPr>
            <a:solidFill>
              <a:srgbClr val="a5a5a5"/>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Segment_DeepDive!$D$46:$D$49</c:f>
              <c:strCache>
                <c:ptCount val="4"/>
                <c:pt idx="0">
                  <c:v>Design</c:v>
                </c:pt>
                <c:pt idx="1">
                  <c:v>Build</c:v>
                </c:pt>
                <c:pt idx="2">
                  <c:v>Manage</c:v>
                </c:pt>
                <c:pt idx="3">
                  <c:v>Media</c:v>
                </c:pt>
              </c:strCache>
            </c:strRef>
          </c:cat>
          <c:val>
            <c:numRef>
              <c:f>Segment_DeepDive!$E$46:$E$49</c:f>
              <c:numCache>
                <c:formatCode>General</c:formatCode>
                <c:ptCount val="4"/>
                <c:pt idx="0">
                  <c:v>0.277</c:v>
                </c:pt>
                <c:pt idx="1">
                  <c:v>0.351</c:v>
                </c:pt>
                <c:pt idx="2">
                  <c:v>0.036</c:v>
                </c:pt>
                <c:pt idx="3">
                  <c:v>0.387</c:v>
                </c:pt>
              </c:numCache>
            </c:numRef>
          </c:val>
        </c:ser>
        <c:ser>
          <c:idx val="1"/>
          <c:order val="1"/>
          <c:tx>
            <c:strRef>
              <c:f>Segment_DeepDive!F45</c:f>
              <c:strCache>
                <c:ptCount val="1"/>
                <c:pt idx="0">
                  <c:v>FY2024</c:v>
                </c:pt>
              </c:strCache>
            </c:strRef>
          </c:tx>
          <c:spPr>
            <a:solidFill>
              <a:srgbClr val="4472c4"/>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Segment_DeepDive!$D$46:$D$49</c:f>
              <c:strCache>
                <c:ptCount val="4"/>
                <c:pt idx="0">
                  <c:v>Design</c:v>
                </c:pt>
                <c:pt idx="1">
                  <c:v>Build</c:v>
                </c:pt>
                <c:pt idx="2">
                  <c:v>Manage</c:v>
                </c:pt>
                <c:pt idx="3">
                  <c:v>Media</c:v>
                </c:pt>
              </c:strCache>
            </c:strRef>
          </c:cat>
          <c:val>
            <c:numRef>
              <c:f>Segment_DeepDive!$F$46:$F$49</c:f>
              <c:numCache>
                <c:formatCode>General</c:formatCode>
                <c:ptCount val="4"/>
                <c:pt idx="0">
                  <c:v>0.297</c:v>
                </c:pt>
                <c:pt idx="1">
                  <c:v>0.318</c:v>
                </c:pt>
                <c:pt idx="2">
                  <c:v>0.102</c:v>
                </c:pt>
                <c:pt idx="3">
                  <c:v>0.365</c:v>
                </c:pt>
              </c:numCache>
            </c:numRef>
          </c:val>
        </c:ser>
        <c:gapWidth val="150"/>
        <c:overlap val="0"/>
        <c:axId val="56879897"/>
        <c:axId val="20406294"/>
      </c:barChart>
      <c:catAx>
        <c:axId val="5687989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406294"/>
        <c:crosses val="autoZero"/>
        <c:auto val="1"/>
        <c:lblAlgn val="ctr"/>
        <c:lblOffset val="100"/>
        <c:noMultiLvlLbl val="0"/>
      </c:catAx>
      <c:valAx>
        <c:axId val="2040629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EBITDA Margin</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87989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Profitability Margins — 5-Year Trend</a:t>
            </a:r>
          </a:p>
        </c:rich>
      </c:tx>
      <c:overlay val="0"/>
      <c:spPr>
        <a:noFill/>
        <a:ln w="0">
          <a:noFill/>
        </a:ln>
      </c:spPr>
    </c:title>
    <c:autoTitleDeleted val="0"/>
    <c:plotArea>
      <c:lineChart>
        <c:grouping val="standard"/>
        <c:varyColors val="0"/>
        <c:ser>
          <c:idx val="0"/>
          <c:order val="0"/>
          <c:tx>
            <c:strRef>
              <c:f>"EBITDA Margin"</c:f>
              <c:strCache>
                <c:ptCount val="1"/>
                <c:pt idx="0">
                  <c:v>EBITDA Margin</c:v>
                </c:pt>
              </c:strCache>
            </c:strRef>
          </c:tx>
          <c:spPr>
            <a:solidFill>
              <a:srgbClr val="4472c4"/>
            </a:solidFill>
            <a:ln w="24840">
              <a:solidFill>
                <a:srgbClr val="4472c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Quality_Metrics!$B$60:$F$60</c:f>
              <c:multiLvlStrCache>
                <c:ptCount val="1"/>
                <c:lvl>
                  <c:pt idx="0">
                    <c:v>2024</c:v>
                  </c:pt>
                </c:lvl>
                <c:lvl>
                  <c:pt idx="0">
                    <c:v>2023</c:v>
                  </c:pt>
                </c:lvl>
                <c:lvl>
                  <c:pt idx="0">
                    <c:v>2022</c:v>
                  </c:pt>
                </c:lvl>
                <c:lvl>
                  <c:pt idx="0">
                    <c:v>2021</c:v>
                  </c:pt>
                </c:lvl>
                <c:lvl>
                  <c:pt idx="0">
                    <c:v>2020</c:v>
                  </c:pt>
                </c:lvl>
              </c:multiLvlStrCache>
            </c:multiLvlStrRef>
          </c:cat>
          <c:val>
            <c:numRef>
              <c:f>Quality_Metrics!$B$61:$F$61</c:f>
              <c:numCache>
                <c:formatCode>General</c:formatCode>
                <c:ptCount val="5"/>
                <c:pt idx="0">
                  <c:v>0.288658066677836</c:v>
                </c:pt>
                <c:pt idx="1">
                  <c:v>0.325752017608217</c:v>
                </c:pt>
                <c:pt idx="2">
                  <c:v>0.320528810177102</c:v>
                </c:pt>
                <c:pt idx="3">
                  <c:v>0.302606857679662</c:v>
                </c:pt>
                <c:pt idx="4">
                  <c:v>0.3023302531137</c:v>
                </c:pt>
              </c:numCache>
            </c:numRef>
          </c:val>
          <c:smooth val="1"/>
        </c:ser>
        <c:ser>
          <c:idx val="1"/>
          <c:order val="1"/>
          <c:tx>
            <c:strRef>
              <c:f>"EBIT Margin"</c:f>
              <c:strCache>
                <c:ptCount val="1"/>
                <c:pt idx="0">
                  <c:v>EBIT Margin</c:v>
                </c:pt>
              </c:strCache>
            </c:strRef>
          </c:tx>
          <c:spPr>
            <a:solidFill>
              <a:srgbClr val="27ae60"/>
            </a:solidFill>
            <a:ln w="24840">
              <a:solidFill>
                <a:srgbClr val="27ae6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Quality_Metrics!$B$60:$F$60</c:f>
              <c:multiLvlStrCache>
                <c:ptCount val="1"/>
                <c:lvl>
                  <c:pt idx="0">
                    <c:v>2024</c:v>
                  </c:pt>
                </c:lvl>
                <c:lvl>
                  <c:pt idx="0">
                    <c:v>2023</c:v>
                  </c:pt>
                </c:lvl>
                <c:lvl>
                  <c:pt idx="0">
                    <c:v>2022</c:v>
                  </c:pt>
                </c:lvl>
                <c:lvl>
                  <c:pt idx="0">
                    <c:v>2021</c:v>
                  </c:pt>
                </c:lvl>
                <c:lvl>
                  <c:pt idx="0">
                    <c:v>2020</c:v>
                  </c:pt>
                </c:lvl>
              </c:multiLvlStrCache>
            </c:multiLvlStrRef>
          </c:cat>
          <c:val>
            <c:numRef>
              <c:f>Quality_Metrics!$B$62:$F$62</c:f>
              <c:numCache>
                <c:formatCode>General</c:formatCode>
                <c:ptCount val="5"/>
                <c:pt idx="0">
                  <c:v>0.205227006198693</c:v>
                </c:pt>
                <c:pt idx="1">
                  <c:v>0.252384446074835</c:v>
                </c:pt>
                <c:pt idx="2">
                  <c:v>0.247069094537291</c:v>
                </c:pt>
                <c:pt idx="3">
                  <c:v>0.234264913104744</c:v>
                </c:pt>
                <c:pt idx="4">
                  <c:v>0.235235034150261</c:v>
                </c:pt>
              </c:numCache>
            </c:numRef>
          </c:val>
          <c:smooth val="1"/>
        </c:ser>
        <c:ser>
          <c:idx val="2"/>
          <c:order val="2"/>
          <c:tx>
            <c:strRef>
              <c:f>"Net Income Margin"</c:f>
              <c:strCache>
                <c:ptCount val="1"/>
                <c:pt idx="0">
                  <c:v>Net Income Margin</c:v>
                </c:pt>
              </c:strCache>
            </c:strRef>
          </c:tx>
          <c:spPr>
            <a:solidFill>
              <a:srgbClr val="e67e22"/>
            </a:solidFill>
            <a:ln w="24840">
              <a:solidFill>
                <a:srgbClr val="e67e22"/>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Quality_Metrics!$B$60:$F$60</c:f>
              <c:multiLvlStrCache>
                <c:ptCount val="1"/>
                <c:lvl>
                  <c:pt idx="0">
                    <c:v>2024</c:v>
                  </c:pt>
                </c:lvl>
                <c:lvl>
                  <c:pt idx="0">
                    <c:v>2023</c:v>
                  </c:pt>
                </c:lvl>
                <c:lvl>
                  <c:pt idx="0">
                    <c:v>2022</c:v>
                  </c:pt>
                </c:lvl>
                <c:lvl>
                  <c:pt idx="0">
                    <c:v>2021</c:v>
                  </c:pt>
                </c:lvl>
                <c:lvl>
                  <c:pt idx="0">
                    <c:v>2020</c:v>
                  </c:pt>
                </c:lvl>
              </c:multiLvlStrCache>
            </c:multiLvlStrRef>
          </c:cat>
          <c:val>
            <c:numRef>
              <c:f>Quality_Metrics!$B$63:$F$63</c:f>
              <c:numCache>
                <c:formatCode>General</c:formatCode>
                <c:ptCount val="5"/>
                <c:pt idx="0">
                  <c:v>0.162338750209415</c:v>
                </c:pt>
                <c:pt idx="1">
                  <c:v>0.197505502567865</c:v>
                </c:pt>
                <c:pt idx="2">
                  <c:v>0.201920678473435</c:v>
                </c:pt>
                <c:pt idx="3">
                  <c:v>0.19246124941287</c:v>
                </c:pt>
                <c:pt idx="4">
                  <c:v>0.179590196866211</c:v>
                </c:pt>
              </c:numCache>
            </c:numRef>
          </c:val>
          <c:smooth val="1"/>
        </c:ser>
        <c:hiLowLines>
          <c:spPr>
            <a:ln w="0">
              <a:noFill/>
            </a:ln>
          </c:spPr>
        </c:hiLowLines>
        <c:marker val="0"/>
        <c:axId val="42943786"/>
        <c:axId val="74613925"/>
      </c:lineChart>
      <c:catAx>
        <c:axId val="4294378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613925"/>
        <c:crosses val="autoZero"/>
        <c:auto val="1"/>
        <c:lblAlgn val="ctr"/>
        <c:lblOffset val="100"/>
        <c:noMultiLvlLbl val="0"/>
      </c:catAx>
      <c:valAx>
        <c:axId val="7461392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Margin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94378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
</Relationships>
</file>

<file path=xl/drawings/_rels/drawing3.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
</Relationships>
</file>

<file path=xl/drawings/_rels/drawing4.xml.rels><?xml version="1.0" encoding="UTF-8"?>
<Relationships xmlns="http://schemas.openxmlformats.org/package/2006/relationships"><Relationship Id="rId1"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63</xdr:row>
      <xdr:rowOff>182520</xdr:rowOff>
    </xdr:from>
    <xdr:to>
      <xdr:col>6</xdr:col>
      <xdr:colOff>10080</xdr:colOff>
      <xdr:row>86</xdr:row>
      <xdr:rowOff>120600</xdr:rowOff>
    </xdr:to>
    <xdr:graphicFrame>
      <xdr:nvGraphicFramePr>
        <xdr:cNvPr id="0" name="Chart 1"/>
        <xdr:cNvGraphicFramePr/>
      </xdr:nvGraphicFramePr>
      <xdr:xfrm>
        <a:off x="0" y="13144680"/>
        <a:ext cx="719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63</xdr:row>
      <xdr:rowOff>182520</xdr:rowOff>
    </xdr:from>
    <xdr:to>
      <xdr:col>11</xdr:col>
      <xdr:colOff>353520</xdr:colOff>
      <xdr:row>86</xdr:row>
      <xdr:rowOff>120600</xdr:rowOff>
    </xdr:to>
    <xdr:graphicFrame>
      <xdr:nvGraphicFramePr>
        <xdr:cNvPr id="1" name="Chart 2"/>
        <xdr:cNvGraphicFramePr/>
      </xdr:nvGraphicFramePr>
      <xdr:xfrm>
        <a:off x="5216040" y="13144680"/>
        <a:ext cx="5759640" cy="43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52</xdr:row>
      <xdr:rowOff>60120</xdr:rowOff>
    </xdr:from>
    <xdr:to>
      <xdr:col>5</xdr:col>
      <xdr:colOff>785520</xdr:colOff>
      <xdr:row>74</xdr:row>
      <xdr:rowOff>189000</xdr:rowOff>
    </xdr:to>
    <xdr:graphicFrame>
      <xdr:nvGraphicFramePr>
        <xdr:cNvPr id="2" name="Chart 1"/>
        <xdr:cNvGraphicFramePr/>
      </xdr:nvGraphicFramePr>
      <xdr:xfrm>
        <a:off x="0" y="10477440"/>
        <a:ext cx="719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52</xdr:row>
      <xdr:rowOff>60120</xdr:rowOff>
    </xdr:from>
    <xdr:to>
      <xdr:col>11</xdr:col>
      <xdr:colOff>353160</xdr:colOff>
      <xdr:row>74</xdr:row>
      <xdr:rowOff>189000</xdr:rowOff>
    </xdr:to>
    <xdr:graphicFrame>
      <xdr:nvGraphicFramePr>
        <xdr:cNvPr id="3" name="Chart 2"/>
        <xdr:cNvGraphicFramePr/>
      </xdr:nvGraphicFramePr>
      <xdr:xfrm>
        <a:off x="5427360" y="10477440"/>
        <a:ext cx="5759640" cy="43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44</xdr:row>
      <xdr:rowOff>16920</xdr:rowOff>
    </xdr:from>
    <xdr:to>
      <xdr:col>4</xdr:col>
      <xdr:colOff>543600</xdr:colOff>
      <xdr:row>66</xdr:row>
      <xdr:rowOff>145800</xdr:rowOff>
    </xdr:to>
    <xdr:graphicFrame>
      <xdr:nvGraphicFramePr>
        <xdr:cNvPr id="4" name="Chart 1"/>
        <xdr:cNvGraphicFramePr/>
      </xdr:nvGraphicFramePr>
      <xdr:xfrm>
        <a:off x="0" y="9334440"/>
        <a:ext cx="575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44</xdr:row>
      <xdr:rowOff>16920</xdr:rowOff>
    </xdr:from>
    <xdr:to>
      <xdr:col>11</xdr:col>
      <xdr:colOff>353520</xdr:colOff>
      <xdr:row>66</xdr:row>
      <xdr:rowOff>145800</xdr:rowOff>
    </xdr:to>
    <xdr:graphicFrame>
      <xdr:nvGraphicFramePr>
        <xdr:cNvPr id="5" name="Chart 2"/>
        <xdr:cNvGraphicFramePr/>
      </xdr:nvGraphicFramePr>
      <xdr:xfrm>
        <a:off x="5216040" y="9334440"/>
        <a:ext cx="5759640" cy="43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62</xdr:row>
      <xdr:rowOff>20520</xdr:rowOff>
    </xdr:from>
    <xdr:to>
      <xdr:col>5</xdr:col>
      <xdr:colOff>785520</xdr:colOff>
      <xdr:row>84</xdr:row>
      <xdr:rowOff>149040</xdr:rowOff>
    </xdr:to>
    <xdr:graphicFrame>
      <xdr:nvGraphicFramePr>
        <xdr:cNvPr id="6" name="Chart 1"/>
        <xdr:cNvGraphicFramePr/>
      </xdr:nvGraphicFramePr>
      <xdr:xfrm>
        <a:off x="0" y="12192120"/>
        <a:ext cx="719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C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60"/>
    <col collapsed="false" customWidth="true" hidden="false" outlineLevel="0" max="3" min="3" style="0" width="30"/>
  </cols>
  <sheetData>
    <row r="1" customFormat="false" ht="15" hidden="false" customHeight="false" outlineLevel="0" collapsed="false">
      <c r="A1" s="1"/>
      <c r="B1" s="1"/>
      <c r="C1" s="1"/>
    </row>
    <row r="2" customFormat="false" ht="33.85" hidden="false" customHeight="false" outlineLevel="0" collapsed="false">
      <c r="A2" s="1"/>
      <c r="B2" s="2" t="s">
        <v>0</v>
      </c>
      <c r="C2" s="1"/>
    </row>
    <row r="3" customFormat="false" ht="22.05" hidden="false" customHeight="false" outlineLevel="0" collapsed="false">
      <c r="A3" s="1"/>
      <c r="B3" s="3" t="s">
        <v>1</v>
      </c>
      <c r="C3" s="1"/>
    </row>
    <row r="4" customFormat="false" ht="15" hidden="false" customHeight="false" outlineLevel="0" collapsed="false">
      <c r="A4" s="1"/>
      <c r="B4" s="4" t="s">
        <v>2</v>
      </c>
      <c r="C4" s="1"/>
    </row>
    <row r="5" customFormat="false" ht="15" hidden="false" customHeight="false" outlineLevel="0" collapsed="false">
      <c r="A5" s="1"/>
      <c r="B5" s="1"/>
      <c r="C5" s="1"/>
    </row>
    <row r="6" customFormat="false" ht="15" hidden="false" customHeight="false" outlineLevel="0" collapsed="false">
      <c r="A6" s="1"/>
      <c r="B6" s="5" t="s">
        <v>3</v>
      </c>
      <c r="C6" s="1"/>
    </row>
    <row r="7" customFormat="false" ht="15" hidden="false" customHeight="false" outlineLevel="0" collapsed="false">
      <c r="A7" s="1"/>
      <c r="B7" s="5" t="s">
        <v>4</v>
      </c>
      <c r="C7" s="1"/>
    </row>
    <row r="9" customFormat="false" ht="17.35" hidden="false" customHeight="false" outlineLevel="0" collapsed="false">
      <c r="B9" s="6" t="s">
        <v>5</v>
      </c>
    </row>
    <row r="11" customFormat="false" ht="15" hidden="false" customHeight="false" outlineLevel="0" collapsed="false">
      <c r="B11" s="7" t="s">
        <v>6</v>
      </c>
      <c r="C11" s="8" t="s">
        <v>7</v>
      </c>
    </row>
    <row r="12" customFormat="false" ht="15" hidden="false" customHeight="false" outlineLevel="0" collapsed="false">
      <c r="B12" s="7" t="s">
        <v>8</v>
      </c>
      <c r="C12" s="8" t="s">
        <v>9</v>
      </c>
    </row>
    <row r="13" customFormat="false" ht="15" hidden="false" customHeight="false" outlineLevel="0" collapsed="false">
      <c r="B13" s="7" t="s">
        <v>10</v>
      </c>
      <c r="C13" s="8" t="s">
        <v>11</v>
      </c>
    </row>
    <row r="14" customFormat="false" ht="15" hidden="false" customHeight="false" outlineLevel="0" collapsed="false">
      <c r="B14" s="7" t="s">
        <v>12</v>
      </c>
      <c r="C14" s="8" t="s">
        <v>13</v>
      </c>
    </row>
    <row r="15" customFormat="false" ht="15" hidden="false" customHeight="false" outlineLevel="0" collapsed="false">
      <c r="B15" s="7" t="s">
        <v>14</v>
      </c>
      <c r="C15" s="8" t="s">
        <v>15</v>
      </c>
    </row>
    <row r="16" customFormat="false" ht="15" hidden="false" customHeight="false" outlineLevel="0" collapsed="false">
      <c r="B16" s="7" t="s">
        <v>16</v>
      </c>
      <c r="C16" s="8" t="s">
        <v>17</v>
      </c>
    </row>
    <row r="17" customFormat="false" ht="15" hidden="false" customHeight="false" outlineLevel="0" collapsed="false">
      <c r="B17" s="7" t="s">
        <v>18</v>
      </c>
      <c r="C17" s="8" t="s">
        <v>19</v>
      </c>
    </row>
    <row r="18" customFormat="false" ht="15" hidden="false" customHeight="false" outlineLevel="0" collapsed="false">
      <c r="B18" s="7" t="s">
        <v>20</v>
      </c>
      <c r="C18" s="8" t="s">
        <v>21</v>
      </c>
    </row>
    <row r="21" customFormat="false" ht="17.35" hidden="false" customHeight="false" outlineLevel="0" collapsed="false">
      <c r="B21" s="6" t="s">
        <v>22</v>
      </c>
    </row>
    <row r="23" customFormat="false" ht="15" hidden="false" customHeight="false" outlineLevel="0" collapsed="false">
      <c r="B23" s="8" t="s">
        <v>23</v>
      </c>
    </row>
    <row r="24" customFormat="false" ht="15" hidden="false" customHeight="false" outlineLevel="0" collapsed="false">
      <c r="B24" s="8" t="s">
        <v>24</v>
      </c>
    </row>
    <row r="25" customFormat="false" ht="15" hidden="false" customHeight="false" outlineLevel="0" collapsed="false">
      <c r="B25" s="8" t="s">
        <v>25</v>
      </c>
    </row>
    <row r="26" customFormat="false" ht="15" hidden="false" customHeight="false" outlineLevel="0" collapsed="false">
      <c r="B26" s="8" t="s">
        <v>26</v>
      </c>
    </row>
    <row r="27" customFormat="false" ht="15" hidden="false" customHeight="false" outlineLevel="0" collapsed="false">
      <c r="B27" s="8" t="s">
        <v>27</v>
      </c>
    </row>
    <row r="28" customFormat="false" ht="15" hidden="false" customHeight="false" outlineLevel="0" collapsed="false">
      <c r="B28" s="8" t="s">
        <v>28</v>
      </c>
    </row>
    <row r="29" customFormat="false" ht="15" hidden="false" customHeight="false" outlineLevel="0" collapsed="false">
      <c r="B29" s="8" t="s">
        <v>29</v>
      </c>
    </row>
    <row r="30" customFormat="false" ht="15" hidden="false" customHeight="false" outlineLevel="0" collapsed="false">
      <c r="B30" s="8" t="s">
        <v>30</v>
      </c>
    </row>
    <row r="32" customFormat="false" ht="15" hidden="false" customHeight="false" outlineLevel="0" collapsed="false">
      <c r="B32" s="9" t="s">
        <v>31</v>
      </c>
    </row>
    <row r="33" customFormat="false" ht="15" hidden="false" customHeight="false" outlineLevel="0" collapsed="false">
      <c r="B33" s="10" t="s">
        <v>32</v>
      </c>
    </row>
    <row r="35" customFormat="false" ht="17.35" hidden="false" customHeight="false" outlineLevel="0" collapsed="false">
      <c r="B35" s="6" t="s">
        <v>33</v>
      </c>
    </row>
    <row r="37" customFormat="false" ht="15" hidden="false" customHeight="false" outlineLevel="0" collapsed="false">
      <c r="B37" s="11" t="s">
        <v>34</v>
      </c>
      <c r="C37" s="8" t="s">
        <v>35</v>
      </c>
    </row>
    <row r="38" customFormat="false" ht="15" hidden="false" customHeight="false" outlineLevel="0" collapsed="false">
      <c r="B38" s="11" t="s">
        <v>36</v>
      </c>
      <c r="C38" s="8" t="s">
        <v>37</v>
      </c>
    </row>
    <row r="39" customFormat="false" ht="15" hidden="false" customHeight="false" outlineLevel="0" collapsed="false">
      <c r="B39" s="11" t="s">
        <v>38</v>
      </c>
      <c r="C39" s="8" t="s">
        <v>39</v>
      </c>
    </row>
    <row r="40" customFormat="false" ht="15" hidden="false" customHeight="false" outlineLevel="0" collapsed="false">
      <c r="B40" s="11" t="s">
        <v>40</v>
      </c>
      <c r="C40" s="8" t="s">
        <v>41</v>
      </c>
    </row>
    <row r="41" customFormat="false" ht="15" hidden="false" customHeight="false" outlineLevel="0" collapsed="false">
      <c r="B41" s="11" t="s">
        <v>42</v>
      </c>
      <c r="C41" s="8" t="s">
        <v>43</v>
      </c>
    </row>
    <row r="42" customFormat="false" ht="15" hidden="false" customHeight="false" outlineLevel="0" collapsed="false">
      <c r="B42" s="11" t="s">
        <v>44</v>
      </c>
      <c r="C42" s="8" t="s">
        <v>45</v>
      </c>
    </row>
    <row r="43" customFormat="false" ht="15" hidden="false" customHeight="false" outlineLevel="0" collapsed="false">
      <c r="B43" s="11" t="s">
        <v>46</v>
      </c>
      <c r="C43" s="8" t="s">
        <v>47</v>
      </c>
    </row>
    <row r="44" customFormat="false" ht="15" hidden="false" customHeight="false" outlineLevel="0" collapsed="false">
      <c r="B44" s="11" t="s">
        <v>48</v>
      </c>
      <c r="C44" s="8" t="s">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E6B"/>
    <pageSetUpPr fitToPage="false"/>
  </sheetPr>
  <dimension ref="A1:G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7" min="2" style="0" width="14"/>
  </cols>
  <sheetData>
    <row r="1" customFormat="false" ht="19.7" hidden="false" customHeight="true" outlineLevel="0" collapsed="false">
      <c r="A1" s="12" t="s">
        <v>50</v>
      </c>
      <c r="B1" s="12"/>
      <c r="C1" s="12"/>
      <c r="D1" s="12"/>
      <c r="E1" s="12"/>
      <c r="F1" s="12"/>
      <c r="G1" s="12"/>
    </row>
    <row r="2" customFormat="false" ht="15" hidden="false" customHeight="false" outlineLevel="0" collapsed="false">
      <c r="A2" s="13" t="s">
        <v>51</v>
      </c>
      <c r="B2" s="13"/>
      <c r="C2" s="13"/>
      <c r="D2" s="13"/>
      <c r="E2" s="13"/>
      <c r="F2" s="13"/>
      <c r="G2" s="13"/>
    </row>
    <row r="4" customFormat="false" ht="26.85" hidden="false" customHeight="false" outlineLevel="0" collapsed="false">
      <c r="A4" s="14" t="s">
        <v>52</v>
      </c>
      <c r="B4" s="15"/>
      <c r="C4" s="15"/>
      <c r="D4" s="15"/>
      <c r="E4" s="15"/>
      <c r="F4" s="15"/>
      <c r="G4" s="15"/>
    </row>
    <row r="5" customFormat="false" ht="15" hidden="false" customHeight="false" outlineLevel="0" collapsed="false">
      <c r="A5" s="16" t="s">
        <v>53</v>
      </c>
      <c r="B5" s="16" t="s">
        <v>54</v>
      </c>
      <c r="C5" s="16" t="s">
        <v>55</v>
      </c>
      <c r="D5" s="16" t="s">
        <v>56</v>
      </c>
      <c r="E5" s="16" t="s">
        <v>57</v>
      </c>
      <c r="F5" s="16" t="s">
        <v>58</v>
      </c>
      <c r="G5" s="16" t="s">
        <v>59</v>
      </c>
    </row>
    <row r="6" customFormat="false" ht="15" hidden="false" customHeight="false" outlineLevel="0" collapsed="false">
      <c r="A6" s="17" t="s">
        <v>60</v>
      </c>
      <c r="B6" s="18" t="n">
        <v>596.9</v>
      </c>
      <c r="C6" s="18" t="n">
        <v>681.5</v>
      </c>
      <c r="D6" s="18" t="n">
        <v>801.8</v>
      </c>
      <c r="E6" s="18" t="n">
        <v>851.6</v>
      </c>
      <c r="F6" s="18" t="n">
        <v>995.6</v>
      </c>
      <c r="G6" s="19" t="n">
        <v>0.136438209628426</v>
      </c>
    </row>
    <row r="7" customFormat="false" ht="15" hidden="false" customHeight="false" outlineLevel="0" collapsed="false">
      <c r="A7" s="20" t="s">
        <v>61</v>
      </c>
      <c r="B7" s="21"/>
      <c r="C7" s="21" t="n">
        <v>0.141732283464567</v>
      </c>
      <c r="D7" s="21" t="n">
        <v>0.176522377109318</v>
      </c>
      <c r="E7" s="21" t="n">
        <v>0.0621102519331505</v>
      </c>
      <c r="F7" s="21" t="n">
        <v>0.169093471113199</v>
      </c>
      <c r="G7" s="22"/>
    </row>
    <row r="8" customFormat="false" ht="15" hidden="false" customHeight="false" outlineLevel="0" collapsed="false">
      <c r="A8" s="17" t="s">
        <v>62</v>
      </c>
      <c r="B8" s="18" t="n">
        <v>359</v>
      </c>
      <c r="C8" s="18" t="n">
        <v>416.7</v>
      </c>
      <c r="D8" s="18" t="n">
        <v>532.6</v>
      </c>
      <c r="E8" s="18" t="n">
        <v>652.7</v>
      </c>
      <c r="F8" s="18" t="n">
        <v>861.2</v>
      </c>
      <c r="G8" s="19" t="n">
        <v>0.244521469583569</v>
      </c>
    </row>
    <row r="9" customFormat="false" ht="15" hidden="false" customHeight="false" outlineLevel="0" collapsed="false">
      <c r="A9" s="20" t="s">
        <v>63</v>
      </c>
      <c r="B9" s="21" t="n">
        <v>0.60144077734964</v>
      </c>
      <c r="C9" s="21" t="n">
        <v>0.611445341159208</v>
      </c>
      <c r="D9" s="21" t="n">
        <v>0.664255425293091</v>
      </c>
      <c r="E9" s="21" t="n">
        <v>0.766439643024894</v>
      </c>
      <c r="F9" s="21" t="n">
        <v>0.865006026516673</v>
      </c>
      <c r="G9" s="22"/>
    </row>
    <row r="10" customFormat="false" ht="15" hidden="false" customHeight="false" outlineLevel="0" collapsed="false">
      <c r="A10" s="17" t="s">
        <v>64</v>
      </c>
      <c r="B10" s="18" t="n">
        <v>90.4</v>
      </c>
      <c r="C10" s="18" t="n">
        <v>132</v>
      </c>
      <c r="D10" s="18" t="n">
        <v>204.2</v>
      </c>
      <c r="E10" s="18" t="n">
        <v>301.8</v>
      </c>
      <c r="F10" s="18" t="n">
        <v>567.8</v>
      </c>
      <c r="G10" s="19" t="n">
        <v>0.583094133141358</v>
      </c>
    </row>
    <row r="11" customFormat="false" ht="15" hidden="false" customHeight="false" outlineLevel="0" collapsed="false">
      <c r="A11" s="20" t="s">
        <v>65</v>
      </c>
      <c r="B11" s="21"/>
      <c r="C11" s="21" t="n">
        <v>0.460176991150442</v>
      </c>
      <c r="D11" s="21" t="n">
        <v>0.546969696969697</v>
      </c>
      <c r="E11" s="21" t="n">
        <v>0.47796278158668</v>
      </c>
      <c r="F11" s="21" t="n">
        <v>0.881378396288933</v>
      </c>
      <c r="G11" s="22"/>
    </row>
    <row r="12" customFormat="false" ht="15" hidden="false" customHeight="false" outlineLevel="0" collapsed="false">
      <c r="A12" s="17" t="s">
        <v>66</v>
      </c>
      <c r="B12" s="18" t="n">
        <v>172.3</v>
      </c>
      <c r="C12" s="18" t="n">
        <v>222</v>
      </c>
      <c r="D12" s="18" t="n">
        <v>257</v>
      </c>
      <c r="E12" s="18" t="n">
        <v>257.7</v>
      </c>
      <c r="F12" s="18" t="n">
        <v>301</v>
      </c>
      <c r="G12" s="19" t="n">
        <v>0.149662338199536</v>
      </c>
    </row>
    <row r="13" customFormat="false" ht="15" hidden="false" customHeight="false" outlineLevel="0" collapsed="false">
      <c r="A13" s="20" t="s">
        <v>67</v>
      </c>
      <c r="B13" s="21" t="n">
        <v>0.288658066677836</v>
      </c>
      <c r="C13" s="21" t="n">
        <v>0.325752017608217</v>
      </c>
      <c r="D13" s="21" t="n">
        <v>0.320528810177102</v>
      </c>
      <c r="E13" s="21" t="n">
        <v>0.302606857679662</v>
      </c>
      <c r="F13" s="21" t="n">
        <v>0.3023302531137</v>
      </c>
      <c r="G13" s="22"/>
    </row>
    <row r="14" customFormat="false" ht="15" hidden="false" customHeight="false" outlineLevel="0" collapsed="false">
      <c r="A14" s="17" t="s">
        <v>68</v>
      </c>
      <c r="B14" s="18" t="n">
        <v>96.9</v>
      </c>
      <c r="C14" s="18" t="n">
        <v>134.6</v>
      </c>
      <c r="D14" s="18" t="n">
        <v>161.9</v>
      </c>
      <c r="E14" s="18" t="n">
        <v>163.9</v>
      </c>
      <c r="F14" s="18" t="n">
        <v>178.8</v>
      </c>
      <c r="G14" s="19" t="n">
        <v>0.165496394492864</v>
      </c>
    </row>
    <row r="15" customFormat="false" ht="15" hidden="false" customHeight="false" outlineLevel="0" collapsed="false">
      <c r="A15" s="23" t="s">
        <v>69</v>
      </c>
      <c r="B15" s="24" t="n">
        <v>157.5</v>
      </c>
      <c r="C15" s="24" t="n">
        <v>214.4</v>
      </c>
      <c r="D15" s="24" t="n">
        <v>213.8</v>
      </c>
      <c r="E15" s="24" t="n">
        <v>252.9</v>
      </c>
      <c r="F15" s="24" t="n">
        <v>306.8</v>
      </c>
      <c r="G15" s="25" t="n">
        <v>0.181391112261824</v>
      </c>
    </row>
    <row r="16" customFormat="false" ht="15" hidden="false" customHeight="false" outlineLevel="0" collapsed="false">
      <c r="A16" s="17" t="s">
        <v>70</v>
      </c>
      <c r="B16" s="18" t="n">
        <v>148.2</v>
      </c>
      <c r="C16" s="18" t="n">
        <v>193.8</v>
      </c>
      <c r="D16" s="18" t="n">
        <v>182.4</v>
      </c>
      <c r="E16" s="18" t="n">
        <v>240.6</v>
      </c>
      <c r="F16" s="18" t="n">
        <v>293.5</v>
      </c>
      <c r="G16" s="19" t="n">
        <v>0.186287558051933</v>
      </c>
    </row>
    <row r="17" customFormat="false" ht="15" hidden="false" customHeight="false" outlineLevel="0" collapsed="false">
      <c r="A17" s="23" t="s">
        <v>71</v>
      </c>
      <c r="B17" s="26" t="n">
        <v>0.84</v>
      </c>
      <c r="C17" s="26" t="n">
        <v>1.17</v>
      </c>
      <c r="D17" s="26" t="n">
        <v>1.4</v>
      </c>
      <c r="E17" s="26" t="n">
        <v>1.4</v>
      </c>
      <c r="F17" s="26" t="n">
        <v>1.52</v>
      </c>
      <c r="G17" s="25" t="n">
        <v>0.159821287211568</v>
      </c>
    </row>
    <row r="19" customFormat="false" ht="26.85" hidden="false" customHeight="false" outlineLevel="0" collapsed="false">
      <c r="A19" s="14" t="s">
        <v>72</v>
      </c>
      <c r="B19" s="15"/>
      <c r="C19" s="15"/>
      <c r="D19" s="15"/>
      <c r="E19" s="15"/>
      <c r="F19" s="15"/>
      <c r="G19" s="15"/>
    </row>
    <row r="20" customFormat="false" ht="15" hidden="false" customHeight="false" outlineLevel="0" collapsed="false">
      <c r="A20" s="16" t="s">
        <v>73</v>
      </c>
      <c r="B20" s="16" t="s">
        <v>74</v>
      </c>
      <c r="C20" s="16" t="s">
        <v>75</v>
      </c>
      <c r="D20" s="16" t="s">
        <v>76</v>
      </c>
      <c r="E20" s="16"/>
      <c r="F20" s="16"/>
      <c r="G20" s="16"/>
    </row>
    <row r="21" customFormat="false" ht="15" hidden="false" customHeight="false" outlineLevel="0" collapsed="false">
      <c r="A21" s="27" t="s">
        <v>77</v>
      </c>
      <c r="B21" s="28" t="s">
        <v>78</v>
      </c>
      <c r="C21" s="29" t="s">
        <v>79</v>
      </c>
      <c r="D21" s="28" t="s">
        <v>80</v>
      </c>
      <c r="E21" s="28"/>
      <c r="F21" s="28"/>
      <c r="G21" s="28"/>
    </row>
    <row r="22" customFormat="false" ht="15" hidden="false" customHeight="false" outlineLevel="0" collapsed="false">
      <c r="A22" s="20" t="s">
        <v>81</v>
      </c>
      <c r="B22" s="22" t="s">
        <v>78</v>
      </c>
      <c r="C22" s="22" t="s">
        <v>79</v>
      </c>
      <c r="D22" s="22" t="s">
        <v>82</v>
      </c>
      <c r="E22" s="22"/>
      <c r="F22" s="22"/>
      <c r="G22" s="22"/>
    </row>
    <row r="23" customFormat="false" ht="15" hidden="false" customHeight="false" outlineLevel="0" collapsed="false">
      <c r="A23" s="27" t="s">
        <v>83</v>
      </c>
      <c r="B23" s="28" t="s">
        <v>84</v>
      </c>
      <c r="C23" s="29" t="s">
        <v>79</v>
      </c>
      <c r="D23" s="28" t="s">
        <v>85</v>
      </c>
      <c r="E23" s="28"/>
      <c r="F23" s="28"/>
      <c r="G23" s="28"/>
    </row>
    <row r="24" customFormat="false" ht="15" hidden="false" customHeight="false" outlineLevel="0" collapsed="false">
      <c r="A24" s="20" t="s">
        <v>86</v>
      </c>
      <c r="B24" s="22" t="s">
        <v>87</v>
      </c>
      <c r="C24" s="22" t="s">
        <v>88</v>
      </c>
      <c r="D24" s="22" t="s">
        <v>89</v>
      </c>
      <c r="E24" s="22"/>
      <c r="F24" s="22"/>
      <c r="G24" s="22"/>
    </row>
    <row r="25" customFormat="false" ht="15" hidden="false" customHeight="false" outlineLevel="0" collapsed="false">
      <c r="A25" s="27" t="s">
        <v>90</v>
      </c>
      <c r="B25" s="28" t="s">
        <v>78</v>
      </c>
      <c r="C25" s="29" t="s">
        <v>79</v>
      </c>
      <c r="D25" s="28" t="s">
        <v>91</v>
      </c>
      <c r="E25" s="28"/>
      <c r="F25" s="28"/>
      <c r="G25" s="28"/>
    </row>
    <row r="26" customFormat="false" ht="15" hidden="false" customHeight="false" outlineLevel="0" collapsed="false">
      <c r="A26" s="20" t="s">
        <v>92</v>
      </c>
      <c r="B26" s="22" t="s">
        <v>93</v>
      </c>
      <c r="C26" s="22" t="s">
        <v>88</v>
      </c>
      <c r="D26" s="22" t="s">
        <v>94</v>
      </c>
      <c r="E26" s="22"/>
      <c r="F26" s="22"/>
      <c r="G26" s="22"/>
    </row>
    <row r="27" customFormat="false" ht="15" hidden="false" customHeight="false" outlineLevel="0" collapsed="false">
      <c r="A27" s="27" t="s">
        <v>95</v>
      </c>
      <c r="B27" s="28" t="s">
        <v>96</v>
      </c>
      <c r="C27" s="30" t="s">
        <v>88</v>
      </c>
      <c r="D27" s="28" t="s">
        <v>97</v>
      </c>
      <c r="E27" s="28"/>
      <c r="F27" s="28"/>
      <c r="G27" s="28"/>
    </row>
    <row r="28" customFormat="false" ht="15" hidden="false" customHeight="false" outlineLevel="0" collapsed="false">
      <c r="A28" s="20" t="s">
        <v>98</v>
      </c>
      <c r="B28" s="22" t="s">
        <v>99</v>
      </c>
      <c r="C28" s="22" t="s">
        <v>88</v>
      </c>
      <c r="D28" s="22" t="s">
        <v>100</v>
      </c>
      <c r="E28" s="22"/>
      <c r="F28" s="22"/>
      <c r="G28" s="22"/>
    </row>
    <row r="29" customFormat="false" ht="15" hidden="false" customHeight="false" outlineLevel="0" collapsed="false">
      <c r="A29" s="27" t="s">
        <v>101</v>
      </c>
      <c r="B29" s="28" t="s">
        <v>102</v>
      </c>
      <c r="C29" s="29" t="s">
        <v>79</v>
      </c>
      <c r="D29" s="28" t="s">
        <v>103</v>
      </c>
      <c r="E29" s="28"/>
      <c r="F29" s="28"/>
      <c r="G29" s="28"/>
    </row>
    <row r="30" customFormat="false" ht="15" hidden="false" customHeight="false" outlineLevel="0" collapsed="false">
      <c r="A30" s="20" t="s">
        <v>104</v>
      </c>
      <c r="B30" s="22" t="s">
        <v>105</v>
      </c>
      <c r="C30" s="22" t="s">
        <v>79</v>
      </c>
      <c r="D30" s="22" t="s">
        <v>106</v>
      </c>
      <c r="E30" s="22"/>
      <c r="F30" s="22"/>
      <c r="G30" s="22"/>
    </row>
    <row r="32" customFormat="false" ht="15" hidden="false" customHeight="false" outlineLevel="0" collapsed="false">
      <c r="A32" s="10" t="s">
        <v>107</v>
      </c>
    </row>
  </sheetData>
  <mergeCells count="12">
    <mergeCell ref="A1:G1"/>
    <mergeCell ref="A2:G2"/>
    <mergeCell ref="D21:G21"/>
    <mergeCell ref="D22:G22"/>
    <mergeCell ref="D23:G23"/>
    <mergeCell ref="D24:G24"/>
    <mergeCell ref="D25:G25"/>
    <mergeCell ref="D26:G26"/>
    <mergeCell ref="D27:G27"/>
    <mergeCell ref="D28:G28"/>
    <mergeCell ref="D29:G29"/>
    <mergeCell ref="D30:G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H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5"/>
    <col collapsed="false" customWidth="true" hidden="false" outlineLevel="0" max="7" min="2" style="0" width="14"/>
    <col collapsed="false" customWidth="true" hidden="false" outlineLevel="0" max="8" min="8" style="0" width="40"/>
  </cols>
  <sheetData>
    <row r="1" customFormat="false" ht="19.7" hidden="false" customHeight="false" outlineLevel="0" collapsed="false">
      <c r="A1" s="31" t="s">
        <v>108</v>
      </c>
      <c r="B1" s="31"/>
      <c r="C1" s="31"/>
      <c r="D1" s="31"/>
      <c r="E1" s="31"/>
      <c r="F1" s="31"/>
      <c r="G1" s="31"/>
      <c r="H1" s="31"/>
    </row>
    <row r="3" customFormat="false" ht="26.85" hidden="false" customHeight="false" outlineLevel="0" collapsed="false">
      <c r="A3" s="14" t="s">
        <v>109</v>
      </c>
      <c r="B3" s="15"/>
      <c r="C3" s="15"/>
      <c r="D3" s="15"/>
      <c r="E3" s="15"/>
      <c r="F3" s="15"/>
      <c r="G3" s="15"/>
      <c r="H3" s="15"/>
    </row>
    <row r="4" customFormat="false" ht="15" hidden="false" customHeight="false" outlineLevel="0" collapsed="false">
      <c r="A4" s="16" t="s">
        <v>110</v>
      </c>
      <c r="B4" s="16" t="s">
        <v>54</v>
      </c>
      <c r="C4" s="16" t="s">
        <v>55</v>
      </c>
      <c r="D4" s="16" t="s">
        <v>56</v>
      </c>
      <c r="E4" s="16" t="s">
        <v>57</v>
      </c>
      <c r="F4" s="16" t="s">
        <v>58</v>
      </c>
      <c r="G4" s="16" t="s">
        <v>111</v>
      </c>
      <c r="H4" s="16" t="s">
        <v>112</v>
      </c>
    </row>
    <row r="5" customFormat="false" ht="15" hidden="false" customHeight="false" outlineLevel="0" collapsed="false">
      <c r="A5" s="17" t="s">
        <v>113</v>
      </c>
      <c r="B5" s="18" t="n">
        <v>596.9</v>
      </c>
      <c r="C5" s="18" t="n">
        <v>681.5</v>
      </c>
      <c r="D5" s="18" t="n">
        <v>801.8</v>
      </c>
      <c r="E5" s="18" t="n">
        <v>851.6</v>
      </c>
      <c r="F5" s="18" t="n">
        <v>995.6</v>
      </c>
      <c r="G5" s="19" t="n">
        <v>0.169093471113199</v>
      </c>
      <c r="H5" s="32" t="s">
        <v>114</v>
      </c>
    </row>
    <row r="6" customFormat="false" ht="15" hidden="false" customHeight="false" outlineLevel="0" collapsed="false">
      <c r="A6" s="20" t="s">
        <v>115</v>
      </c>
      <c r="B6" s="33" t="n">
        <v>210</v>
      </c>
      <c r="C6" s="33" t="n">
        <v>234.8</v>
      </c>
      <c r="D6" s="33" t="n">
        <v>235</v>
      </c>
      <c r="E6" s="33" t="n">
        <v>161.1</v>
      </c>
      <c r="F6" s="33" t="n">
        <v>100.7</v>
      </c>
      <c r="G6" s="21" t="n">
        <v>-0.374922408441962</v>
      </c>
      <c r="H6" s="22" t="s">
        <v>116</v>
      </c>
    </row>
    <row r="7" customFormat="false" ht="15" hidden="false" customHeight="false" outlineLevel="0" collapsed="false">
      <c r="A7" s="27" t="s">
        <v>117</v>
      </c>
      <c r="B7" s="34" t="n">
        <v>359</v>
      </c>
      <c r="C7" s="34" t="n">
        <v>416.7</v>
      </c>
      <c r="D7" s="34" t="n">
        <v>532.6</v>
      </c>
      <c r="E7" s="34" t="n">
        <v>652.7</v>
      </c>
      <c r="F7" s="34" t="n">
        <v>861.2</v>
      </c>
      <c r="G7" s="35" t="n">
        <v>0.319442316531331</v>
      </c>
      <c r="H7" s="28" t="s">
        <v>118</v>
      </c>
    </row>
    <row r="8" customFormat="false" ht="15" hidden="false" customHeight="false" outlineLevel="0" collapsed="false">
      <c r="A8" s="20" t="s">
        <v>119</v>
      </c>
      <c r="B8" s="33" t="n">
        <v>90.4</v>
      </c>
      <c r="C8" s="33" t="n">
        <v>132</v>
      </c>
      <c r="D8" s="33" t="n">
        <v>204.2</v>
      </c>
      <c r="E8" s="33" t="n">
        <v>301.8</v>
      </c>
      <c r="F8" s="33" t="n">
        <v>567.8</v>
      </c>
      <c r="G8" s="21" t="n">
        <v>0.881378396288933</v>
      </c>
      <c r="H8" s="22" t="s">
        <v>118</v>
      </c>
    </row>
    <row r="9" customFormat="false" ht="15" hidden="false" customHeight="false" outlineLevel="0" collapsed="false">
      <c r="A9" s="27" t="s">
        <v>120</v>
      </c>
      <c r="B9" s="34" t="n">
        <v>268.6</v>
      </c>
      <c r="C9" s="34" t="n">
        <v>284.7</v>
      </c>
      <c r="D9" s="34" t="n">
        <v>328.4</v>
      </c>
      <c r="E9" s="34" t="n">
        <v>350.9</v>
      </c>
      <c r="F9" s="34" t="n">
        <v>293.4</v>
      </c>
      <c r="G9" s="28"/>
      <c r="H9" s="28" t="s">
        <v>121</v>
      </c>
    </row>
    <row r="10" customFormat="false" ht="15" hidden="false" customHeight="false" outlineLevel="0" collapsed="false">
      <c r="A10" s="20" t="s">
        <v>122</v>
      </c>
      <c r="B10" s="33" t="n">
        <v>27.9</v>
      </c>
      <c r="C10" s="33" t="n">
        <v>30</v>
      </c>
      <c r="D10" s="33" t="n">
        <v>34.1999999999999</v>
      </c>
      <c r="E10" s="33" t="n">
        <v>37.8</v>
      </c>
      <c r="F10" s="33" t="n">
        <v>33.6999999999999</v>
      </c>
      <c r="G10" s="22"/>
      <c r="H10" s="22" t="s">
        <v>116</v>
      </c>
    </row>
    <row r="11" customFormat="false" ht="15" hidden="false" customHeight="false" outlineLevel="0" collapsed="false">
      <c r="A11" s="27"/>
      <c r="B11" s="34"/>
      <c r="C11" s="34"/>
      <c r="D11" s="34"/>
      <c r="E11" s="34"/>
      <c r="F11" s="34"/>
      <c r="G11" s="28"/>
      <c r="H11" s="28"/>
    </row>
    <row r="12" customFormat="false" ht="15" hidden="false" customHeight="false" outlineLevel="0" collapsed="false">
      <c r="A12" s="23" t="s">
        <v>123</v>
      </c>
      <c r="B12" s="24" t="n">
        <v>172.3</v>
      </c>
      <c r="C12" s="24" t="n">
        <v>222</v>
      </c>
      <c r="D12" s="24" t="n">
        <v>257</v>
      </c>
      <c r="E12" s="24" t="n">
        <v>257.7</v>
      </c>
      <c r="F12" s="24" t="n">
        <v>301</v>
      </c>
      <c r="G12" s="25" t="n">
        <v>0.16802483507955</v>
      </c>
      <c r="H12" s="36" t="s">
        <v>118</v>
      </c>
    </row>
    <row r="13" customFormat="false" ht="15" hidden="false" customHeight="false" outlineLevel="0" collapsed="false">
      <c r="A13" s="27" t="s">
        <v>124</v>
      </c>
      <c r="B13" s="35" t="n">
        <v>0.288658066677836</v>
      </c>
      <c r="C13" s="35" t="n">
        <v>0.325752017608217</v>
      </c>
      <c r="D13" s="35" t="n">
        <v>0.320528810177102</v>
      </c>
      <c r="E13" s="35" t="n">
        <v>0.302606857679662</v>
      </c>
      <c r="F13" s="35" t="n">
        <v>0.3023302531137</v>
      </c>
      <c r="G13" s="28"/>
      <c r="H13" s="28" t="s">
        <v>125</v>
      </c>
    </row>
    <row r="14" customFormat="false" ht="15" hidden="false" customHeight="false" outlineLevel="0" collapsed="false">
      <c r="A14" s="23" t="s">
        <v>126</v>
      </c>
      <c r="B14" s="24" t="n">
        <v>122.5</v>
      </c>
      <c r="C14" s="24" t="n">
        <v>172</v>
      </c>
      <c r="D14" s="24" t="n">
        <v>198.1</v>
      </c>
      <c r="E14" s="24" t="n">
        <v>199.5</v>
      </c>
      <c r="F14" s="24" t="n">
        <v>234.2</v>
      </c>
      <c r="G14" s="36"/>
      <c r="H14" s="36" t="s">
        <v>127</v>
      </c>
    </row>
    <row r="15" customFormat="false" ht="15" hidden="false" customHeight="false" outlineLevel="0" collapsed="false">
      <c r="A15" s="27" t="s">
        <v>128</v>
      </c>
      <c r="B15" s="35" t="n">
        <v>0.205227006198693</v>
      </c>
      <c r="C15" s="35" t="n">
        <v>0.252384446074835</v>
      </c>
      <c r="D15" s="35" t="n">
        <v>0.247069094537291</v>
      </c>
      <c r="E15" s="35" t="n">
        <v>0.234264913104744</v>
      </c>
      <c r="F15" s="35" t="n">
        <v>0.235235034150261</v>
      </c>
      <c r="G15" s="28"/>
      <c r="H15" s="28" t="s">
        <v>125</v>
      </c>
    </row>
    <row r="16" customFormat="false" ht="15" hidden="false" customHeight="false" outlineLevel="0" collapsed="false">
      <c r="A16" s="23" t="s">
        <v>129</v>
      </c>
      <c r="B16" s="24" t="n">
        <v>96.9</v>
      </c>
      <c r="C16" s="24" t="n">
        <v>134.6</v>
      </c>
      <c r="D16" s="24" t="n">
        <v>161.9</v>
      </c>
      <c r="E16" s="24" t="n">
        <v>163.9</v>
      </c>
      <c r="F16" s="24" t="n">
        <v>178.8</v>
      </c>
      <c r="G16" s="25" t="n">
        <v>0.0909090909090909</v>
      </c>
      <c r="H16" s="36" t="s">
        <v>127</v>
      </c>
    </row>
    <row r="17" customFormat="false" ht="15" hidden="false" customHeight="false" outlineLevel="0" collapsed="false">
      <c r="A17" s="27" t="s">
        <v>130</v>
      </c>
      <c r="B17" s="35" t="n">
        <v>0.162338750209415</v>
      </c>
      <c r="C17" s="35" t="n">
        <v>0.197505502567865</v>
      </c>
      <c r="D17" s="35" t="n">
        <v>0.201920678473435</v>
      </c>
      <c r="E17" s="35" t="n">
        <v>0.19246124941287</v>
      </c>
      <c r="F17" s="35" t="n">
        <v>0.179590196866211</v>
      </c>
      <c r="G17" s="28"/>
      <c r="H17" s="28" t="s">
        <v>125</v>
      </c>
    </row>
    <row r="18" customFormat="false" ht="15" hidden="false" customHeight="false" outlineLevel="0" collapsed="false">
      <c r="A18" s="20" t="s">
        <v>71</v>
      </c>
      <c r="B18" s="37" t="n">
        <v>0.84</v>
      </c>
      <c r="C18" s="37" t="n">
        <v>1.17</v>
      </c>
      <c r="D18" s="37" t="n">
        <v>1.4</v>
      </c>
      <c r="E18" s="37" t="n">
        <v>1.4</v>
      </c>
      <c r="F18" s="37" t="n">
        <v>1.52</v>
      </c>
      <c r="G18" s="22"/>
      <c r="H18" s="22" t="s">
        <v>131</v>
      </c>
    </row>
    <row r="20" customFormat="false" ht="15" hidden="false" customHeight="false" outlineLevel="0" collapsed="false">
      <c r="A20" s="14" t="s">
        <v>132</v>
      </c>
      <c r="B20" s="15"/>
      <c r="C20" s="15"/>
      <c r="D20" s="15"/>
      <c r="E20" s="15"/>
      <c r="F20" s="15"/>
      <c r="G20" s="15"/>
      <c r="H20" s="15"/>
    </row>
    <row r="21" customFormat="false" ht="15" hidden="false" customHeight="false" outlineLevel="0" collapsed="false">
      <c r="A21" s="16" t="s">
        <v>110</v>
      </c>
      <c r="B21" s="16" t="s">
        <v>54</v>
      </c>
      <c r="C21" s="16" t="s">
        <v>55</v>
      </c>
      <c r="D21" s="16" t="s">
        <v>56</v>
      </c>
      <c r="E21" s="16" t="s">
        <v>57</v>
      </c>
      <c r="F21" s="16" t="s">
        <v>58</v>
      </c>
      <c r="G21" s="16" t="s">
        <v>111</v>
      </c>
      <c r="H21" s="16" t="s">
        <v>112</v>
      </c>
    </row>
    <row r="22" customFormat="false" ht="15" hidden="false" customHeight="false" outlineLevel="0" collapsed="false">
      <c r="A22" s="17" t="s">
        <v>133</v>
      </c>
      <c r="B22" s="18" t="n">
        <v>157.5</v>
      </c>
      <c r="C22" s="18" t="n">
        <v>214.4</v>
      </c>
      <c r="D22" s="18" t="n">
        <v>213.8</v>
      </c>
      <c r="E22" s="18" t="n">
        <v>252.9</v>
      </c>
      <c r="F22" s="18" t="n">
        <v>306.8</v>
      </c>
      <c r="G22" s="32"/>
      <c r="H22" s="32" t="s">
        <v>134</v>
      </c>
    </row>
    <row r="23" customFormat="false" ht="15" hidden="false" customHeight="false" outlineLevel="0" collapsed="false">
      <c r="A23" s="20" t="s">
        <v>135</v>
      </c>
      <c r="B23" s="33"/>
      <c r="C23" s="33"/>
      <c r="D23" s="33" t="n">
        <v>-12.7</v>
      </c>
      <c r="E23" s="33" t="n">
        <v>-12.7</v>
      </c>
      <c r="F23" s="33" t="n">
        <v>-13.7</v>
      </c>
      <c r="G23" s="22"/>
      <c r="H23" s="22" t="s">
        <v>134</v>
      </c>
    </row>
    <row r="24" customFormat="false" ht="15" hidden="false" customHeight="false" outlineLevel="0" collapsed="false">
      <c r="A24" s="17" t="s">
        <v>136</v>
      </c>
      <c r="B24" s="18" t="n">
        <v>46.5</v>
      </c>
      <c r="C24" s="18" t="n">
        <v>66.7</v>
      </c>
      <c r="D24" s="18" t="n">
        <v>161.4</v>
      </c>
      <c r="E24" s="18" t="n">
        <v>215</v>
      </c>
      <c r="F24" s="18" t="n">
        <v>-400.3</v>
      </c>
      <c r="G24" s="32"/>
      <c r="H24" s="32" t="s">
        <v>131</v>
      </c>
    </row>
    <row r="25" customFormat="false" ht="15" hidden="false" customHeight="false" outlineLevel="0" collapsed="false">
      <c r="A25" s="23" t="s">
        <v>137</v>
      </c>
      <c r="B25" s="24" t="n">
        <v>148.2</v>
      </c>
      <c r="C25" s="24" t="n">
        <v>193.8</v>
      </c>
      <c r="D25" s="24" t="n">
        <v>182.4</v>
      </c>
      <c r="E25" s="24" t="n">
        <v>240.6</v>
      </c>
      <c r="F25" s="24" t="n">
        <v>293.5</v>
      </c>
      <c r="G25" s="36"/>
      <c r="H25" s="36" t="s">
        <v>131</v>
      </c>
    </row>
    <row r="26" customFormat="false" ht="15" hidden="false" customHeight="false" outlineLevel="0" collapsed="false">
      <c r="A26" s="27" t="s">
        <v>138</v>
      </c>
      <c r="B26" s="35" t="n">
        <v>1.62538699690403</v>
      </c>
      <c r="C26" s="35" t="n">
        <v>1.59286775631501</v>
      </c>
      <c r="D26" s="35" t="n">
        <v>1.32056825200741</v>
      </c>
      <c r="E26" s="35" t="n">
        <v>1.54301403294692</v>
      </c>
      <c r="F26" s="35" t="n">
        <v>1.7158836689038</v>
      </c>
      <c r="G26" s="28"/>
      <c r="H26" s="28" t="s">
        <v>125</v>
      </c>
    </row>
    <row r="27" customFormat="false" ht="15" hidden="false" customHeight="false" outlineLevel="0" collapsed="false">
      <c r="A27" s="20" t="s">
        <v>139</v>
      </c>
      <c r="B27" s="21" t="n">
        <v>1.52941176470588</v>
      </c>
      <c r="C27" s="21" t="n">
        <v>1.43982169390788</v>
      </c>
      <c r="D27" s="21" t="n">
        <v>1.1266213712168</v>
      </c>
      <c r="E27" s="21" t="n">
        <v>1.4679682733374</v>
      </c>
      <c r="F27" s="21" t="n">
        <v>1.64149888143177</v>
      </c>
      <c r="G27" s="22"/>
      <c r="H27" s="22" t="s">
        <v>125</v>
      </c>
    </row>
    <row r="29" customFormat="false" ht="15" hidden="false" customHeight="false" outlineLevel="0" collapsed="false">
      <c r="A29" s="14" t="s">
        <v>140</v>
      </c>
      <c r="B29" s="15"/>
      <c r="C29" s="15"/>
      <c r="D29" s="15"/>
      <c r="E29" s="15"/>
      <c r="F29" s="15"/>
      <c r="G29" s="15"/>
      <c r="H29" s="15"/>
    </row>
    <row r="30" customFormat="false" ht="15" hidden="false" customHeight="false" outlineLevel="0" collapsed="false">
      <c r="A30" s="16" t="s">
        <v>110</v>
      </c>
      <c r="B30" s="16" t="s">
        <v>54</v>
      </c>
      <c r="C30" s="16" t="s">
        <v>55</v>
      </c>
      <c r="D30" s="16" t="s">
        <v>56</v>
      </c>
      <c r="E30" s="16" t="s">
        <v>57</v>
      </c>
      <c r="F30" s="16" t="s">
        <v>58</v>
      </c>
      <c r="G30" s="16" t="s">
        <v>111</v>
      </c>
      <c r="H30" s="16" t="s">
        <v>112</v>
      </c>
    </row>
    <row r="31" customFormat="false" ht="15" hidden="false" customHeight="false" outlineLevel="0" collapsed="false">
      <c r="A31" s="17" t="s">
        <v>141</v>
      </c>
      <c r="B31" s="18" t="n">
        <v>359</v>
      </c>
      <c r="C31" s="18" t="n">
        <v>416.7</v>
      </c>
      <c r="D31" s="18" t="n">
        <v>532.6</v>
      </c>
      <c r="E31" s="18" t="n">
        <v>652.7</v>
      </c>
      <c r="F31" s="18" t="n">
        <v>861.2</v>
      </c>
      <c r="G31" s="19" t="n">
        <v>0.319442316531331</v>
      </c>
      <c r="H31" s="32" t="s">
        <v>142</v>
      </c>
    </row>
    <row r="32" customFormat="false" ht="15" hidden="false" customHeight="false" outlineLevel="0" collapsed="false">
      <c r="A32" s="20" t="s">
        <v>143</v>
      </c>
      <c r="B32" s="21" t="n">
        <v>0.60144077734964</v>
      </c>
      <c r="C32" s="21" t="n">
        <v>0.611445341159208</v>
      </c>
      <c r="D32" s="21" t="n">
        <v>0.664255425293091</v>
      </c>
      <c r="E32" s="21" t="n">
        <v>0.766439643024894</v>
      </c>
      <c r="F32" s="21" t="n">
        <v>0.865006026516673</v>
      </c>
      <c r="G32" s="22"/>
      <c r="H32" s="22" t="s">
        <v>125</v>
      </c>
    </row>
    <row r="33" customFormat="false" ht="15" hidden="false" customHeight="false" outlineLevel="0" collapsed="false">
      <c r="A33" s="17" t="s">
        <v>144</v>
      </c>
      <c r="B33" s="18" t="n">
        <v>210</v>
      </c>
      <c r="C33" s="18" t="n">
        <v>234.8</v>
      </c>
      <c r="D33" s="18" t="n">
        <v>235</v>
      </c>
      <c r="E33" s="18" t="n">
        <v>161.1</v>
      </c>
      <c r="F33" s="18" t="n">
        <v>100.7</v>
      </c>
      <c r="G33" s="19" t="n">
        <v>-0.374922408441962</v>
      </c>
      <c r="H33" s="32" t="s">
        <v>145</v>
      </c>
    </row>
    <row r="34" customFormat="false" ht="15" hidden="false" customHeight="false" outlineLevel="0" collapsed="false">
      <c r="A34" s="20" t="s">
        <v>146</v>
      </c>
      <c r="B34" s="21" t="n">
        <v>0.351817724912046</v>
      </c>
      <c r="C34" s="21" t="n">
        <v>0.344534115920763</v>
      </c>
      <c r="D34" s="21" t="n">
        <v>0.293090546270891</v>
      </c>
      <c r="E34" s="21" t="n">
        <v>0.189173320807891</v>
      </c>
      <c r="F34" s="21" t="n">
        <v>0.101145038167939</v>
      </c>
      <c r="G34" s="22"/>
      <c r="H34" s="22" t="s">
        <v>125</v>
      </c>
    </row>
    <row r="35" customFormat="false" ht="15" hidden="false" customHeight="false" outlineLevel="0" collapsed="false">
      <c r="A35" s="17" t="s">
        <v>147</v>
      </c>
      <c r="B35" s="18" t="n">
        <v>27.9</v>
      </c>
      <c r="C35" s="18" t="n">
        <v>30</v>
      </c>
      <c r="D35" s="18" t="n">
        <v>34.1999999999999</v>
      </c>
      <c r="E35" s="18" t="n">
        <v>37.8</v>
      </c>
      <c r="F35" s="18" t="n">
        <v>33.6999999999999</v>
      </c>
      <c r="G35" s="32"/>
      <c r="H35" s="32" t="s">
        <v>145</v>
      </c>
    </row>
    <row r="36" customFormat="false" ht="15" hidden="false" customHeight="false" outlineLevel="0" collapsed="false">
      <c r="A36" s="20" t="s">
        <v>148</v>
      </c>
      <c r="B36" s="21" t="n">
        <v>0.0467414977383146</v>
      </c>
      <c r="C36" s="21" t="n">
        <v>0.0440205429200294</v>
      </c>
      <c r="D36" s="21" t="n">
        <v>0.0426540284360189</v>
      </c>
      <c r="E36" s="21" t="n">
        <v>0.0443870361672146</v>
      </c>
      <c r="F36" s="21" t="n">
        <v>0.0338489353153876</v>
      </c>
      <c r="G36" s="22"/>
      <c r="H36" s="22" t="s">
        <v>125</v>
      </c>
    </row>
    <row r="38" customFormat="false" ht="15" hidden="false" customHeight="false" outlineLevel="0" collapsed="false">
      <c r="A38" s="14" t="s">
        <v>149</v>
      </c>
      <c r="B38" s="15"/>
      <c r="C38" s="15"/>
      <c r="D38" s="15"/>
      <c r="E38" s="15"/>
      <c r="F38" s="15"/>
      <c r="G38" s="15"/>
      <c r="H38" s="15"/>
    </row>
    <row r="39" customFormat="false" ht="15" hidden="false" customHeight="false" outlineLevel="0" collapsed="false">
      <c r="A39" s="16" t="s">
        <v>110</v>
      </c>
      <c r="B39" s="16" t="s">
        <v>54</v>
      </c>
      <c r="C39" s="16" t="s">
        <v>55</v>
      </c>
      <c r="D39" s="16" t="s">
        <v>56</v>
      </c>
      <c r="E39" s="16" t="s">
        <v>57</v>
      </c>
      <c r="F39" s="16" t="s">
        <v>58</v>
      </c>
      <c r="G39" s="16" t="s">
        <v>111</v>
      </c>
      <c r="H39" s="16" t="s">
        <v>112</v>
      </c>
    </row>
    <row r="40" customFormat="false" ht="15" hidden="false" customHeight="false" outlineLevel="0" collapsed="false">
      <c r="A40" s="27" t="s">
        <v>150</v>
      </c>
      <c r="B40" s="34" t="n">
        <v>145.0467</v>
      </c>
      <c r="C40" s="34" t="n">
        <v>163.56</v>
      </c>
      <c r="D40" s="34" t="n">
        <v>168.378</v>
      </c>
      <c r="E40" s="34" t="n">
        <v>178</v>
      </c>
      <c r="F40" s="34" t="n">
        <v>183</v>
      </c>
      <c r="G40" s="28"/>
      <c r="H40" s="28" t="s">
        <v>151</v>
      </c>
    </row>
    <row r="41" customFormat="false" ht="15" hidden="false" customHeight="false" outlineLevel="0" collapsed="false">
      <c r="A41" s="20" t="s">
        <v>152</v>
      </c>
      <c r="B41" s="33" t="n">
        <v>191.008</v>
      </c>
      <c r="C41" s="33" t="n">
        <v>218.08</v>
      </c>
      <c r="D41" s="33" t="n">
        <v>248.558</v>
      </c>
      <c r="E41" s="33" t="n">
        <v>269.5</v>
      </c>
      <c r="F41" s="33" t="n">
        <v>309</v>
      </c>
      <c r="G41" s="22"/>
      <c r="H41" s="22" t="s">
        <v>153</v>
      </c>
    </row>
    <row r="42" customFormat="false" ht="15" hidden="false" customHeight="false" outlineLevel="0" collapsed="false">
      <c r="A42" s="27" t="s">
        <v>154</v>
      </c>
      <c r="B42" s="34" t="n">
        <v>182.0545</v>
      </c>
      <c r="C42" s="34" t="n">
        <v>231.71</v>
      </c>
      <c r="D42" s="34" t="n">
        <v>312.702</v>
      </c>
      <c r="E42" s="34" t="n">
        <v>324.9</v>
      </c>
      <c r="F42" s="34" t="n">
        <v>402.2</v>
      </c>
      <c r="G42" s="28"/>
      <c r="H42" s="28" t="s">
        <v>153</v>
      </c>
    </row>
    <row r="43" customFormat="false" ht="15" hidden="false" customHeight="false" outlineLevel="0" collapsed="false">
      <c r="A43" s="20" t="s">
        <v>155</v>
      </c>
      <c r="B43" s="33" t="n">
        <v>59.69</v>
      </c>
      <c r="C43" s="33" t="n">
        <v>68.15</v>
      </c>
      <c r="D43" s="33" t="n">
        <v>80.18</v>
      </c>
      <c r="E43" s="33" t="n">
        <v>75.7</v>
      </c>
      <c r="F43" s="33" t="n">
        <v>96.8</v>
      </c>
      <c r="G43" s="22"/>
      <c r="H43" s="22" t="s">
        <v>153</v>
      </c>
    </row>
    <row r="44" customFormat="false" ht="15" hidden="false" customHeight="false" outlineLevel="0" collapsed="false">
      <c r="A44" s="27" t="s">
        <v>156</v>
      </c>
      <c r="B44" s="34" t="n">
        <v>19.1008</v>
      </c>
      <c r="C44" s="34" t="n">
        <v>0</v>
      </c>
      <c r="D44" s="34" t="n">
        <v>-8.01799999999997</v>
      </c>
      <c r="E44" s="34" t="n">
        <v>3.50000000000004</v>
      </c>
      <c r="F44" s="34" t="n">
        <v>4.60000000000004</v>
      </c>
      <c r="G44" s="28"/>
      <c r="H44" s="28" t="s">
        <v>157</v>
      </c>
    </row>
    <row r="45" customFormat="false" ht="15" hidden="false" customHeight="false" outlineLevel="0" collapsed="false">
      <c r="A45" s="20"/>
      <c r="B45" s="33"/>
      <c r="C45" s="33"/>
      <c r="D45" s="33"/>
      <c r="E45" s="33"/>
      <c r="F45" s="33"/>
      <c r="G45" s="22"/>
      <c r="H45" s="22"/>
    </row>
    <row r="46" customFormat="false" ht="15" hidden="false" customHeight="false" outlineLevel="0" collapsed="false">
      <c r="A46" s="27" t="s">
        <v>158</v>
      </c>
      <c r="B46" s="35" t="n">
        <v>0.243</v>
      </c>
      <c r="C46" s="35" t="n">
        <v>0.24</v>
      </c>
      <c r="D46" s="35" t="n">
        <v>0.21</v>
      </c>
      <c r="E46" s="35" t="n">
        <v>0.209018318459371</v>
      </c>
      <c r="F46" s="35" t="n">
        <v>0.183808758537565</v>
      </c>
      <c r="G46" s="28"/>
      <c r="H46" s="28" t="s">
        <v>125</v>
      </c>
    </row>
    <row r="47" customFormat="false" ht="15" hidden="false" customHeight="false" outlineLevel="0" collapsed="false">
      <c r="A47" s="20" t="s">
        <v>159</v>
      </c>
      <c r="B47" s="21" t="n">
        <v>0.32</v>
      </c>
      <c r="C47" s="21" t="n">
        <v>0.32</v>
      </c>
      <c r="D47" s="21" t="n">
        <v>0.31</v>
      </c>
      <c r="E47" s="21" t="n">
        <v>0.316463128229216</v>
      </c>
      <c r="F47" s="21" t="n">
        <v>0.310365608678184</v>
      </c>
      <c r="G47" s="22"/>
      <c r="H47" s="22" t="s">
        <v>125</v>
      </c>
    </row>
    <row r="48" customFormat="false" ht="15" hidden="false" customHeight="false" outlineLevel="0" collapsed="false">
      <c r="A48" s="27" t="s">
        <v>160</v>
      </c>
      <c r="B48" s="35" t="n">
        <v>0.305</v>
      </c>
      <c r="C48" s="35" t="n">
        <v>0.34</v>
      </c>
      <c r="D48" s="35" t="n">
        <v>0.39</v>
      </c>
      <c r="E48" s="35" t="n">
        <v>0.381517144199155</v>
      </c>
      <c r="F48" s="35" t="n">
        <v>0.403977501004419</v>
      </c>
      <c r="G48" s="28"/>
      <c r="H48" s="28" t="s">
        <v>125</v>
      </c>
    </row>
    <row r="49" customFormat="false" ht="15" hidden="false" customHeight="false" outlineLevel="0" collapsed="false">
      <c r="A49" s="20" t="s">
        <v>161</v>
      </c>
      <c r="B49" s="21" t="n">
        <v>0.1</v>
      </c>
      <c r="C49" s="21" t="n">
        <v>0.1</v>
      </c>
      <c r="D49" s="21" t="n">
        <v>0.1</v>
      </c>
      <c r="E49" s="21" t="n">
        <v>0.0888914983560357</v>
      </c>
      <c r="F49" s="21" t="n">
        <v>0.0972278023302531</v>
      </c>
      <c r="G49" s="22"/>
      <c r="H49" s="22" t="s">
        <v>125</v>
      </c>
    </row>
    <row r="51" customFormat="false" ht="15" hidden="false" customHeight="false" outlineLevel="0" collapsed="false">
      <c r="A51" s="14" t="s">
        <v>162</v>
      </c>
      <c r="B51" s="15"/>
      <c r="C51" s="15"/>
      <c r="D51" s="15"/>
      <c r="E51" s="15"/>
      <c r="F51" s="15"/>
      <c r="G51" s="15"/>
      <c r="H51" s="15"/>
    </row>
    <row r="52" customFormat="false" ht="15" hidden="false" customHeight="false" outlineLevel="0" collapsed="false">
      <c r="A52" s="16" t="s">
        <v>110</v>
      </c>
      <c r="B52" s="16" t="s">
        <v>54</v>
      </c>
      <c r="C52" s="16" t="s">
        <v>55</v>
      </c>
      <c r="D52" s="16" t="s">
        <v>56</v>
      </c>
      <c r="E52" s="16" t="s">
        <v>57</v>
      </c>
      <c r="F52" s="16" t="s">
        <v>58</v>
      </c>
      <c r="G52" s="16" t="s">
        <v>111</v>
      </c>
      <c r="H52" s="16" t="s">
        <v>112</v>
      </c>
    </row>
    <row r="53" customFormat="false" ht="15" hidden="false" customHeight="false" outlineLevel="0" collapsed="false">
      <c r="A53" s="17" t="s">
        <v>163</v>
      </c>
      <c r="B53" s="18" t="n">
        <v>307.4035</v>
      </c>
      <c r="C53" s="18" t="n">
        <v>354.38</v>
      </c>
      <c r="D53" s="18" t="n">
        <v>392.882</v>
      </c>
      <c r="E53" s="18" t="n">
        <v>432</v>
      </c>
      <c r="F53" s="18" t="n">
        <v>487.6</v>
      </c>
      <c r="G53" s="32"/>
      <c r="H53" s="32" t="s">
        <v>164</v>
      </c>
    </row>
    <row r="54" customFormat="false" ht="15" hidden="false" customHeight="false" outlineLevel="0" collapsed="false">
      <c r="A54" s="23" t="s">
        <v>165</v>
      </c>
      <c r="B54" s="24" t="n">
        <v>191.008</v>
      </c>
      <c r="C54" s="24" t="n">
        <v>218.08</v>
      </c>
      <c r="D54" s="24" t="n">
        <v>264.594</v>
      </c>
      <c r="E54" s="24" t="n">
        <v>265.4</v>
      </c>
      <c r="F54" s="24" t="n">
        <v>340.7</v>
      </c>
      <c r="G54" s="36"/>
      <c r="H54" s="36" t="s">
        <v>164</v>
      </c>
    </row>
    <row r="55" customFormat="false" ht="15" hidden="false" customHeight="false" outlineLevel="0" collapsed="false">
      <c r="A55" s="17" t="s">
        <v>166</v>
      </c>
      <c r="B55" s="18" t="n">
        <v>32.8295</v>
      </c>
      <c r="C55" s="18" t="n">
        <v>40.89</v>
      </c>
      <c r="D55" s="18" t="n">
        <v>48.108</v>
      </c>
      <c r="E55" s="18" t="n">
        <v>50.4</v>
      </c>
      <c r="F55" s="18" t="n">
        <v>49.9</v>
      </c>
      <c r="G55" s="32"/>
      <c r="H55" s="32" t="s">
        <v>164</v>
      </c>
    </row>
    <row r="56" customFormat="false" ht="15" hidden="false" customHeight="false" outlineLevel="0" collapsed="false">
      <c r="A56" s="23" t="s">
        <v>167</v>
      </c>
      <c r="B56" s="24" t="n">
        <v>65.659</v>
      </c>
      <c r="C56" s="24" t="n">
        <v>68.15</v>
      </c>
      <c r="D56" s="24" t="n">
        <v>104.234</v>
      </c>
      <c r="E56" s="24" t="n">
        <v>111.4</v>
      </c>
      <c r="F56" s="24" t="n">
        <v>117.4</v>
      </c>
      <c r="G56" s="36"/>
      <c r="H56" s="36" t="s">
        <v>164</v>
      </c>
    </row>
    <row r="57" customFormat="false" ht="15" hidden="false" customHeight="false" outlineLevel="0" collapsed="false">
      <c r="A57" s="27"/>
      <c r="B57" s="34"/>
      <c r="C57" s="34"/>
      <c r="D57" s="34"/>
      <c r="E57" s="34"/>
      <c r="F57" s="34"/>
      <c r="G57" s="28"/>
      <c r="H57" s="28"/>
    </row>
    <row r="58" customFormat="false" ht="15" hidden="false" customHeight="false" outlineLevel="0" collapsed="false">
      <c r="A58" s="23" t="s">
        <v>168</v>
      </c>
      <c r="B58" s="24"/>
      <c r="C58" s="24"/>
      <c r="D58" s="24"/>
      <c r="E58" s="24" t="n">
        <v>119.8</v>
      </c>
      <c r="F58" s="24" t="n">
        <v>144.8</v>
      </c>
      <c r="G58" s="36"/>
      <c r="H58" s="36" t="s">
        <v>169</v>
      </c>
    </row>
    <row r="59" customFormat="false" ht="15" hidden="false" customHeight="false" outlineLevel="0" collapsed="false">
      <c r="A59" s="17" t="s">
        <v>170</v>
      </c>
      <c r="B59" s="18"/>
      <c r="C59" s="18"/>
      <c r="D59" s="18"/>
      <c r="E59" s="18" t="n">
        <v>93.1</v>
      </c>
      <c r="F59" s="18" t="n">
        <v>108.3</v>
      </c>
      <c r="G59" s="32"/>
      <c r="H59" s="32" t="s">
        <v>169</v>
      </c>
    </row>
    <row r="60" customFormat="false" ht="15" hidden="false" customHeight="false" outlineLevel="0" collapsed="false">
      <c r="A60" s="23" t="s">
        <v>171</v>
      </c>
      <c r="B60" s="24"/>
      <c r="C60" s="24"/>
      <c r="D60" s="24"/>
      <c r="E60" s="24" t="n">
        <v>1.8</v>
      </c>
      <c r="F60" s="24" t="n">
        <v>5.1</v>
      </c>
      <c r="G60" s="36"/>
      <c r="H60" s="36" t="s">
        <v>169</v>
      </c>
    </row>
    <row r="61" customFormat="false" ht="15" hidden="false" customHeight="false" outlineLevel="0" collapsed="false">
      <c r="A61" s="17" t="s">
        <v>172</v>
      </c>
      <c r="B61" s="18"/>
      <c r="C61" s="18"/>
      <c r="D61" s="18"/>
      <c r="E61" s="18" t="n">
        <v>43.1</v>
      </c>
      <c r="F61" s="18" t="n">
        <v>42.9</v>
      </c>
      <c r="G61" s="32"/>
      <c r="H61" s="32" t="s">
        <v>169</v>
      </c>
    </row>
    <row r="62" customFormat="false" ht="15" hidden="false" customHeight="false" outlineLevel="0" collapsed="false">
      <c r="A62" s="20"/>
      <c r="B62" s="33"/>
      <c r="C62" s="33"/>
      <c r="D62" s="33"/>
      <c r="E62" s="33"/>
      <c r="F62" s="33"/>
      <c r="G62" s="22"/>
      <c r="H62" s="22"/>
    </row>
    <row r="63" customFormat="false" ht="15" hidden="false" customHeight="false" outlineLevel="0" collapsed="false">
      <c r="A63" s="27" t="s">
        <v>173</v>
      </c>
      <c r="B63" s="35"/>
      <c r="C63" s="35"/>
      <c r="D63" s="35"/>
      <c r="E63" s="35" t="n">
        <v>0.277314814814815</v>
      </c>
      <c r="F63" s="35" t="n">
        <v>0.296964725184578</v>
      </c>
      <c r="G63" s="28"/>
      <c r="H63" s="28" t="s">
        <v>125</v>
      </c>
    </row>
    <row r="64" customFormat="false" ht="15" hidden="false" customHeight="false" outlineLevel="0" collapsed="false">
      <c r="A64" s="20" t="s">
        <v>174</v>
      </c>
      <c r="B64" s="21"/>
      <c r="C64" s="21"/>
      <c r="D64" s="21"/>
      <c r="E64" s="21" t="n">
        <v>0.350791258477769</v>
      </c>
      <c r="F64" s="21" t="n">
        <v>0.317874963310831</v>
      </c>
      <c r="G64" s="22"/>
      <c r="H64" s="22" t="s">
        <v>125</v>
      </c>
    </row>
    <row r="65" customFormat="false" ht="15" hidden="false" customHeight="false" outlineLevel="0" collapsed="false">
      <c r="A65" s="27" t="s">
        <v>175</v>
      </c>
      <c r="B65" s="35"/>
      <c r="C65" s="35"/>
      <c r="D65" s="35"/>
      <c r="E65" s="35" t="n">
        <v>0.0357142857142857</v>
      </c>
      <c r="F65" s="35" t="n">
        <v>0.102204408817635</v>
      </c>
      <c r="G65" s="28"/>
      <c r="H65" s="28" t="s">
        <v>125</v>
      </c>
    </row>
    <row r="66" customFormat="false" ht="15" hidden="false" customHeight="false" outlineLevel="0" collapsed="false">
      <c r="A66" s="20" t="s">
        <v>176</v>
      </c>
      <c r="B66" s="21"/>
      <c r="C66" s="21"/>
      <c r="D66" s="21"/>
      <c r="E66" s="21" t="n">
        <v>0.38689407540395</v>
      </c>
      <c r="F66" s="21" t="n">
        <v>0.36541737649063</v>
      </c>
      <c r="G66" s="22"/>
      <c r="H66" s="22" t="s">
        <v>125</v>
      </c>
    </row>
    <row r="68" customFormat="false" ht="26.85" hidden="false" customHeight="false" outlineLevel="0" collapsed="false">
      <c r="A68" s="14" t="s">
        <v>177</v>
      </c>
      <c r="B68" s="15"/>
      <c r="C68" s="15"/>
      <c r="D68" s="15"/>
      <c r="E68" s="15"/>
      <c r="F68" s="15"/>
      <c r="G68" s="15"/>
      <c r="H68" s="15"/>
    </row>
    <row r="69" customFormat="false" ht="15" hidden="false" customHeight="false" outlineLevel="0" collapsed="false">
      <c r="A69" s="16" t="s">
        <v>110</v>
      </c>
      <c r="B69" s="16" t="s">
        <v>54</v>
      </c>
      <c r="C69" s="16" t="s">
        <v>55</v>
      </c>
      <c r="D69" s="16" t="s">
        <v>56</v>
      </c>
      <c r="E69" s="16" t="s">
        <v>57</v>
      </c>
      <c r="F69" s="16" t="s">
        <v>58</v>
      </c>
      <c r="G69" s="16" t="s">
        <v>111</v>
      </c>
      <c r="H69" s="16" t="s">
        <v>112</v>
      </c>
    </row>
    <row r="70" customFormat="false" ht="15" hidden="false" customHeight="false" outlineLevel="0" collapsed="false">
      <c r="A70" s="27" t="s">
        <v>178</v>
      </c>
      <c r="B70" s="34"/>
      <c r="C70" s="34"/>
      <c r="D70" s="34"/>
      <c r="E70" s="34" t="n">
        <v>268</v>
      </c>
      <c r="F70" s="34" t="n">
        <v>205.7</v>
      </c>
      <c r="G70" s="28"/>
      <c r="H70" s="28" t="s">
        <v>179</v>
      </c>
    </row>
    <row r="71" customFormat="false" ht="15" hidden="false" customHeight="false" outlineLevel="0" collapsed="false">
      <c r="A71" s="20" t="s">
        <v>180</v>
      </c>
      <c r="B71" s="33"/>
      <c r="C71" s="33"/>
      <c r="D71" s="33"/>
      <c r="E71" s="33" t="n">
        <v>99.6</v>
      </c>
      <c r="F71" s="33" t="n">
        <v>147.4</v>
      </c>
      <c r="G71" s="22"/>
      <c r="H71" s="22" t="s">
        <v>181</v>
      </c>
    </row>
    <row r="72" customFormat="false" ht="15" hidden="false" customHeight="false" outlineLevel="0" collapsed="false">
      <c r="A72" s="27" t="s">
        <v>182</v>
      </c>
      <c r="B72" s="34"/>
      <c r="C72" s="34"/>
      <c r="D72" s="34"/>
      <c r="E72" s="34" t="n">
        <v>552</v>
      </c>
      <c r="F72" s="34" t="n">
        <v>1135.2</v>
      </c>
      <c r="G72" s="28"/>
      <c r="H72" s="28" t="s">
        <v>179</v>
      </c>
    </row>
    <row r="73" customFormat="false" ht="15" hidden="false" customHeight="false" outlineLevel="0" collapsed="false">
      <c r="A73" s="20" t="s">
        <v>183</v>
      </c>
      <c r="B73" s="33"/>
      <c r="C73" s="33"/>
      <c r="D73" s="33"/>
      <c r="E73" s="33" t="n">
        <v>1274.3</v>
      </c>
      <c r="F73" s="33" t="n">
        <v>2136.3</v>
      </c>
      <c r="G73" s="22"/>
      <c r="H73" s="22" t="s">
        <v>179</v>
      </c>
    </row>
    <row r="74" customFormat="false" ht="15" hidden="false" customHeight="false" outlineLevel="0" collapsed="false">
      <c r="A74" s="27" t="s">
        <v>184</v>
      </c>
      <c r="B74" s="34"/>
      <c r="C74" s="34"/>
      <c r="D74" s="34"/>
      <c r="E74" s="34" t="n">
        <v>781.9</v>
      </c>
      <c r="F74" s="34" t="n">
        <v>944.4</v>
      </c>
      <c r="G74" s="28"/>
      <c r="H74" s="28" t="s">
        <v>179</v>
      </c>
    </row>
    <row r="75" customFormat="false" ht="15" hidden="false" customHeight="false" outlineLevel="0" collapsed="false">
      <c r="A75" s="20" t="s">
        <v>185</v>
      </c>
      <c r="B75" s="21"/>
      <c r="C75" s="21"/>
      <c r="D75" s="21"/>
      <c r="E75" s="21" t="n">
        <v>0.614</v>
      </c>
      <c r="F75" s="21" t="n">
        <v>0.442</v>
      </c>
      <c r="G75" s="22"/>
      <c r="H75" s="22" t="s">
        <v>131</v>
      </c>
    </row>
    <row r="76" customFormat="false" ht="15" hidden="false" customHeight="false" outlineLevel="0" collapsed="false">
      <c r="A76" s="27" t="s">
        <v>186</v>
      </c>
      <c r="B76" s="34"/>
      <c r="C76" s="34"/>
      <c r="D76" s="34"/>
      <c r="E76" s="34" t="n">
        <v>0.071</v>
      </c>
      <c r="F76" s="34" t="n">
        <v>500.3</v>
      </c>
      <c r="G76" s="28"/>
      <c r="H76" s="28" t="s">
        <v>179</v>
      </c>
    </row>
    <row r="77" customFormat="false" ht="15" hidden="false" customHeight="false" outlineLevel="0" collapsed="false">
      <c r="A77" s="20" t="s">
        <v>187</v>
      </c>
      <c r="B77" s="33"/>
      <c r="C77" s="33"/>
      <c r="D77" s="33"/>
      <c r="E77" s="33" t="n">
        <v>271.2</v>
      </c>
      <c r="F77" s="33" t="n">
        <v>385.8</v>
      </c>
      <c r="G77" s="22"/>
      <c r="H77" s="22" t="s">
        <v>188</v>
      </c>
    </row>
    <row r="78" customFormat="false" ht="15" hidden="false" customHeight="false" outlineLevel="0" collapsed="false">
      <c r="A78" s="27" t="s">
        <v>189</v>
      </c>
      <c r="B78" s="34"/>
      <c r="C78" s="34"/>
      <c r="D78" s="34"/>
      <c r="E78" s="34" t="n">
        <v>265.1</v>
      </c>
      <c r="F78" s="34" t="n">
        <v>354.6</v>
      </c>
      <c r="G78" s="28"/>
      <c r="H78" s="28" t="s">
        <v>145</v>
      </c>
    </row>
    <row r="79" customFormat="false" ht="15" hidden="false" customHeight="false" outlineLevel="0" collapsed="false">
      <c r="A79" s="20" t="s">
        <v>190</v>
      </c>
      <c r="B79" s="33"/>
      <c r="C79" s="33"/>
      <c r="D79" s="33"/>
      <c r="E79" s="33" t="n">
        <v>6.2</v>
      </c>
      <c r="F79" s="33" t="n">
        <v>31.2</v>
      </c>
      <c r="G79" s="22"/>
      <c r="H79" s="22" t="s">
        <v>145</v>
      </c>
    </row>
    <row r="80" customFormat="false" ht="15" hidden="false" customHeight="false" outlineLevel="0" collapsed="false">
      <c r="A80" s="27" t="s">
        <v>191</v>
      </c>
      <c r="B80" s="38"/>
      <c r="C80" s="38"/>
      <c r="D80" s="38"/>
      <c r="E80" s="38" t="n">
        <v>42.6890558947863</v>
      </c>
      <c r="F80" s="38" t="n">
        <v>54.0387705905986</v>
      </c>
      <c r="G80" s="28"/>
      <c r="H80" s="28" t="s">
        <v>192</v>
      </c>
    </row>
    <row r="81" customFormat="false" ht="15" hidden="false" customHeight="false" outlineLevel="0" collapsed="false">
      <c r="A81" s="20" t="s">
        <v>193</v>
      </c>
      <c r="B81" s="39"/>
      <c r="C81" s="39"/>
      <c r="D81" s="39"/>
      <c r="E81" s="39" t="n">
        <v>3415</v>
      </c>
      <c r="F81" s="39" t="n">
        <v>3671</v>
      </c>
      <c r="G81" s="22"/>
      <c r="H81" s="22" t="s">
        <v>194</v>
      </c>
    </row>
    <row r="82" customFormat="false" ht="15" hidden="false" customHeight="false" outlineLevel="0" collapsed="false">
      <c r="A82" s="27" t="s">
        <v>195</v>
      </c>
      <c r="B82" s="34"/>
      <c r="C82" s="34"/>
      <c r="D82" s="34"/>
      <c r="E82" s="34" t="n">
        <v>249.370424597365</v>
      </c>
      <c r="F82" s="34" t="n">
        <v>271.206755652411</v>
      </c>
      <c r="G82" s="28"/>
      <c r="H82" s="28" t="s">
        <v>125</v>
      </c>
    </row>
    <row r="84" customFormat="false" ht="15" hidden="false" customHeight="false" outlineLevel="0" collapsed="false">
      <c r="A84" s="14" t="s">
        <v>196</v>
      </c>
      <c r="B84" s="15"/>
      <c r="C84" s="15"/>
      <c r="D84" s="15"/>
      <c r="E84" s="15"/>
      <c r="F84" s="15"/>
      <c r="G84" s="15"/>
      <c r="H84" s="15"/>
    </row>
    <row r="85" customFormat="false" ht="15" hidden="false" customHeight="false" outlineLevel="0" collapsed="false">
      <c r="A85" s="7" t="s">
        <v>197</v>
      </c>
      <c r="B85" s="8"/>
      <c r="H85" s="10"/>
    </row>
    <row r="86" customFormat="false" ht="15" hidden="false" customHeight="false" outlineLevel="0" collapsed="false">
      <c r="A86" s="8" t="s">
        <v>198</v>
      </c>
      <c r="B86" s="8" t="s">
        <v>199</v>
      </c>
      <c r="H86" s="10" t="s">
        <v>200</v>
      </c>
    </row>
    <row r="87" customFormat="false" ht="15" hidden="false" customHeight="false" outlineLevel="0" collapsed="false">
      <c r="A87" s="8" t="s">
        <v>201</v>
      </c>
      <c r="B87" s="40" t="n">
        <v>665.3</v>
      </c>
      <c r="H87" s="10" t="s">
        <v>200</v>
      </c>
    </row>
    <row r="88" customFormat="false" ht="15" hidden="false" customHeight="false" outlineLevel="0" collapsed="false">
      <c r="A88" s="8" t="s">
        <v>202</v>
      </c>
      <c r="B88" s="40" t="n">
        <v>534.7</v>
      </c>
      <c r="H88" s="10" t="s">
        <v>203</v>
      </c>
    </row>
    <row r="89" customFormat="false" ht="15" hidden="false" customHeight="false" outlineLevel="0" collapsed="false">
      <c r="A89" s="8" t="s">
        <v>204</v>
      </c>
      <c r="B89" s="40" t="n">
        <v>253</v>
      </c>
      <c r="H89" s="10" t="s">
        <v>203</v>
      </c>
    </row>
    <row r="90" customFormat="false" ht="15" hidden="false" customHeight="false" outlineLevel="0" collapsed="false">
      <c r="A90" s="8" t="s">
        <v>205</v>
      </c>
      <c r="B90" s="40" t="n">
        <v>27.5</v>
      </c>
      <c r="H90" s="10" t="s">
        <v>203</v>
      </c>
    </row>
    <row r="91" customFormat="false" ht="15" hidden="false" customHeight="false" outlineLevel="0" collapsed="false">
      <c r="A91" s="8" t="s">
        <v>206</v>
      </c>
      <c r="B91" s="40" t="n">
        <v>5.5</v>
      </c>
      <c r="H91" s="10" t="s">
        <v>203</v>
      </c>
    </row>
    <row r="92" customFormat="false" ht="15" hidden="false" customHeight="false" outlineLevel="0" collapsed="false">
      <c r="A92" s="8" t="s">
        <v>207</v>
      </c>
      <c r="B92" s="40" t="n">
        <v>60.7</v>
      </c>
      <c r="H92" s="10" t="s">
        <v>203</v>
      </c>
    </row>
    <row r="93" customFormat="false" ht="15" hidden="false" customHeight="false" outlineLevel="0" collapsed="false">
      <c r="A93" s="8" t="s">
        <v>208</v>
      </c>
      <c r="B93" s="40" t="n">
        <v>67</v>
      </c>
      <c r="H93" s="10" t="s">
        <v>209</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G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7" min="2" style="0" width="14"/>
  </cols>
  <sheetData>
    <row r="1" customFormat="false" ht="19.7" hidden="false" customHeight="false" outlineLevel="0" collapsed="false">
      <c r="A1" s="31" t="s">
        <v>210</v>
      </c>
      <c r="B1" s="31"/>
      <c r="C1" s="31"/>
      <c r="D1" s="31"/>
      <c r="E1" s="31"/>
      <c r="F1" s="31"/>
      <c r="G1" s="31"/>
    </row>
    <row r="3" customFormat="false" ht="26.85" hidden="false" customHeight="false" outlineLevel="0" collapsed="false">
      <c r="A3" s="14" t="s">
        <v>211</v>
      </c>
      <c r="B3" s="15"/>
      <c r="C3" s="15"/>
      <c r="D3" s="15"/>
      <c r="E3" s="15"/>
      <c r="F3" s="15"/>
      <c r="G3" s="15"/>
    </row>
    <row r="4" customFormat="false" ht="15" hidden="false" customHeight="false" outlineLevel="0" collapsed="false">
      <c r="A4" s="16" t="s">
        <v>212</v>
      </c>
      <c r="B4" s="16" t="s">
        <v>54</v>
      </c>
      <c r="C4" s="16" t="s">
        <v>55</v>
      </c>
      <c r="D4" s="16" t="s">
        <v>56</v>
      </c>
      <c r="E4" s="16" t="s">
        <v>57</v>
      </c>
      <c r="F4" s="16" t="s">
        <v>58</v>
      </c>
      <c r="G4" s="16" t="s">
        <v>213</v>
      </c>
    </row>
    <row r="5" customFormat="false" ht="15" hidden="false" customHeight="false" outlineLevel="0" collapsed="false">
      <c r="A5" s="17" t="s">
        <v>214</v>
      </c>
      <c r="B5" s="18" t="n">
        <v>596.9</v>
      </c>
      <c r="C5" s="18" t="n">
        <v>681.5</v>
      </c>
      <c r="D5" s="18" t="n">
        <v>801.8</v>
      </c>
      <c r="E5" s="18" t="n">
        <v>851.6</v>
      </c>
      <c r="F5" s="18" t="n">
        <v>995.6</v>
      </c>
      <c r="G5" s="32"/>
    </row>
    <row r="6" customFormat="false" ht="15" hidden="false" customHeight="false" outlineLevel="0" collapsed="false">
      <c r="A6" s="20" t="s">
        <v>61</v>
      </c>
      <c r="B6" s="21"/>
      <c r="C6" s="21" t="n">
        <v>0.141732283464567</v>
      </c>
      <c r="D6" s="21" t="n">
        <v>0.176522377109318</v>
      </c>
      <c r="E6" s="21" t="n">
        <v>0.0621102519331505</v>
      </c>
      <c r="F6" s="21" t="n">
        <v>0.169093471113199</v>
      </c>
      <c r="G6" s="22"/>
    </row>
    <row r="7" customFormat="false" ht="15" hidden="false" customHeight="false" outlineLevel="0" collapsed="false">
      <c r="A7" s="27"/>
      <c r="B7" s="34"/>
      <c r="C7" s="34"/>
      <c r="D7" s="34"/>
      <c r="E7" s="34"/>
      <c r="F7" s="34"/>
      <c r="G7" s="28"/>
    </row>
    <row r="8" customFormat="false" ht="15" hidden="false" customHeight="false" outlineLevel="0" collapsed="false">
      <c r="A8" s="23" t="s">
        <v>215</v>
      </c>
      <c r="B8" s="24"/>
      <c r="C8" s="24"/>
      <c r="D8" s="24"/>
      <c r="E8" s="24"/>
      <c r="F8" s="24"/>
      <c r="G8" s="36"/>
    </row>
    <row r="9" customFormat="false" ht="15" hidden="false" customHeight="false" outlineLevel="0" collapsed="false">
      <c r="A9" s="27" t="s">
        <v>216</v>
      </c>
      <c r="B9" s="34" t="n">
        <v>90.4</v>
      </c>
      <c r="C9" s="34" t="n">
        <v>132</v>
      </c>
      <c r="D9" s="34" t="n">
        <v>204.2</v>
      </c>
      <c r="E9" s="34" t="n">
        <v>301.8</v>
      </c>
      <c r="F9" s="34" t="n">
        <v>567.8</v>
      </c>
      <c r="G9" s="35" t="n">
        <v>0.583094133141358</v>
      </c>
    </row>
    <row r="10" customFormat="false" ht="15" hidden="false" customHeight="false" outlineLevel="0" collapsed="false">
      <c r="A10" s="20" t="s">
        <v>217</v>
      </c>
      <c r="B10" s="33" t="n">
        <v>268.6</v>
      </c>
      <c r="C10" s="33" t="n">
        <v>284.7</v>
      </c>
      <c r="D10" s="33" t="n">
        <v>328.4</v>
      </c>
      <c r="E10" s="33" t="n">
        <v>350.9</v>
      </c>
      <c r="F10" s="33" t="n">
        <v>293.4</v>
      </c>
      <c r="G10" s="21" t="n">
        <v>0.0223239268272204</v>
      </c>
    </row>
    <row r="11" customFormat="false" ht="15" hidden="false" customHeight="false" outlineLevel="0" collapsed="false">
      <c r="A11" s="27" t="s">
        <v>218</v>
      </c>
      <c r="B11" s="34" t="n">
        <v>210</v>
      </c>
      <c r="C11" s="34" t="n">
        <v>234.8</v>
      </c>
      <c r="D11" s="34" t="n">
        <v>235</v>
      </c>
      <c r="E11" s="34" t="n">
        <v>161.1</v>
      </c>
      <c r="F11" s="34" t="n">
        <v>100.7</v>
      </c>
      <c r="G11" s="35" t="n">
        <v>-0.167848224854758</v>
      </c>
    </row>
    <row r="12" customFormat="false" ht="15" hidden="false" customHeight="false" outlineLevel="0" collapsed="false">
      <c r="A12" s="20" t="s">
        <v>122</v>
      </c>
      <c r="B12" s="33" t="n">
        <v>27.9</v>
      </c>
      <c r="C12" s="33" t="n">
        <v>30</v>
      </c>
      <c r="D12" s="33" t="n">
        <v>34.1999999999999</v>
      </c>
      <c r="E12" s="33" t="n">
        <v>37.8</v>
      </c>
      <c r="F12" s="33" t="n">
        <v>33.6999999999999</v>
      </c>
      <c r="G12" s="21" t="n">
        <v>0.0483503014254494</v>
      </c>
    </row>
    <row r="13" customFormat="false" ht="15" hidden="false" customHeight="false" outlineLevel="0" collapsed="false">
      <c r="A13" s="27"/>
      <c r="B13" s="34"/>
      <c r="C13" s="34"/>
      <c r="D13" s="34"/>
      <c r="E13" s="34"/>
      <c r="F13" s="34"/>
      <c r="G13" s="28"/>
    </row>
    <row r="14" customFormat="false" ht="15" hidden="false" customHeight="false" outlineLevel="0" collapsed="false">
      <c r="A14" s="23" t="s">
        <v>219</v>
      </c>
      <c r="B14" s="24"/>
      <c r="C14" s="24"/>
      <c r="D14" s="24"/>
      <c r="E14" s="24"/>
      <c r="F14" s="24"/>
      <c r="G14" s="36"/>
    </row>
    <row r="15" customFormat="false" ht="15" hidden="false" customHeight="false" outlineLevel="0" collapsed="false">
      <c r="A15" s="27" t="s">
        <v>220</v>
      </c>
      <c r="B15" s="35" t="n">
        <v>0.151449153962138</v>
      </c>
      <c r="C15" s="35" t="n">
        <v>0.193690388848129</v>
      </c>
      <c r="D15" s="35" t="n">
        <v>0.254676976802195</v>
      </c>
      <c r="E15" s="35" t="n">
        <v>0.354391733208079</v>
      </c>
      <c r="F15" s="35" t="n">
        <v>0.570309361189233</v>
      </c>
      <c r="G15" s="28"/>
    </row>
    <row r="16" customFormat="false" ht="15" hidden="false" customHeight="false" outlineLevel="0" collapsed="false">
      <c r="A16" s="20" t="s">
        <v>221</v>
      </c>
      <c r="B16" s="21" t="n">
        <v>0.449991623387502</v>
      </c>
      <c r="C16" s="21" t="n">
        <v>0.417754952311079</v>
      </c>
      <c r="D16" s="21" t="n">
        <v>0.409578448490896</v>
      </c>
      <c r="E16" s="21" t="n">
        <v>0.412047909816815</v>
      </c>
      <c r="F16" s="21" t="n">
        <v>0.294696665327441</v>
      </c>
      <c r="G16" s="22"/>
    </row>
    <row r="17" customFormat="false" ht="15" hidden="false" customHeight="false" outlineLevel="0" collapsed="false">
      <c r="A17" s="27" t="s">
        <v>222</v>
      </c>
      <c r="B17" s="35" t="n">
        <v>0.351817724912046</v>
      </c>
      <c r="C17" s="35" t="n">
        <v>0.344534115920763</v>
      </c>
      <c r="D17" s="35" t="n">
        <v>0.293090546270891</v>
      </c>
      <c r="E17" s="35" t="n">
        <v>0.189173320807891</v>
      </c>
      <c r="F17" s="35" t="n">
        <v>0.101145038167939</v>
      </c>
      <c r="G17" s="28"/>
    </row>
    <row r="18" customFormat="false" ht="15" hidden="false" customHeight="false" outlineLevel="0" collapsed="false">
      <c r="A18" s="20" t="s">
        <v>223</v>
      </c>
      <c r="B18" s="21" t="n">
        <v>0.0467414977383146</v>
      </c>
      <c r="C18" s="21" t="n">
        <v>0.0440205429200294</v>
      </c>
      <c r="D18" s="21" t="n">
        <v>0.0426540284360189</v>
      </c>
      <c r="E18" s="21" t="n">
        <v>0.0443870361672146</v>
      </c>
      <c r="F18" s="21" t="n">
        <v>0.0338489353153876</v>
      </c>
      <c r="G18" s="22"/>
    </row>
    <row r="19" customFormat="false" ht="15" hidden="false" customHeight="false" outlineLevel="0" collapsed="false">
      <c r="A19" s="27"/>
      <c r="B19" s="34"/>
      <c r="C19" s="34"/>
      <c r="D19" s="34"/>
      <c r="E19" s="34"/>
      <c r="F19" s="34"/>
      <c r="G19" s="28"/>
    </row>
    <row r="20" customFormat="false" ht="15" hidden="false" customHeight="false" outlineLevel="0" collapsed="false">
      <c r="A20" s="23" t="s">
        <v>224</v>
      </c>
      <c r="B20" s="24"/>
      <c r="C20" s="24"/>
      <c r="D20" s="24"/>
      <c r="E20" s="24"/>
      <c r="F20" s="24"/>
      <c r="G20" s="36"/>
    </row>
    <row r="21" customFormat="false" ht="15" hidden="false" customHeight="false" outlineLevel="0" collapsed="false">
      <c r="A21" s="27" t="s">
        <v>225</v>
      </c>
      <c r="B21" s="35"/>
      <c r="C21" s="35" t="n">
        <v>0.460176991150442</v>
      </c>
      <c r="D21" s="35" t="n">
        <v>0.546969696969697</v>
      </c>
      <c r="E21" s="35" t="n">
        <v>0.47796278158668</v>
      </c>
      <c r="F21" s="35" t="n">
        <v>0.881378396288933</v>
      </c>
      <c r="G21" s="28"/>
    </row>
    <row r="22" customFormat="false" ht="15" hidden="false" customHeight="false" outlineLevel="0" collapsed="false">
      <c r="A22" s="20" t="s">
        <v>226</v>
      </c>
      <c r="B22" s="21"/>
      <c r="C22" s="21" t="n">
        <v>0.160724233983287</v>
      </c>
      <c r="D22" s="21" t="n">
        <v>0.278137748980082</v>
      </c>
      <c r="E22" s="21" t="n">
        <v>0.225497559143823</v>
      </c>
      <c r="F22" s="21" t="n">
        <v>0.319442316531331</v>
      </c>
      <c r="G22" s="22"/>
    </row>
    <row r="23" customFormat="false" ht="15" hidden="false" customHeight="false" outlineLevel="0" collapsed="false">
      <c r="A23" s="27" t="s">
        <v>227</v>
      </c>
      <c r="B23" s="35"/>
      <c r="C23" s="35" t="n">
        <v>0.118095238095238</v>
      </c>
      <c r="D23" s="35" t="n">
        <v>0.000851788756388367</v>
      </c>
      <c r="E23" s="35" t="n">
        <v>-0.314468085106383</v>
      </c>
      <c r="F23" s="35" t="n">
        <v>-0.374922408441962</v>
      </c>
      <c r="G23" s="28"/>
    </row>
    <row r="26" customFormat="false" ht="26.85" hidden="false" customHeight="false" outlineLevel="0" collapsed="false">
      <c r="A26" s="14" t="s">
        <v>228</v>
      </c>
      <c r="B26" s="15"/>
      <c r="C26" s="15"/>
      <c r="D26" s="15"/>
      <c r="E26" s="15"/>
      <c r="F26" s="15"/>
      <c r="G26" s="15"/>
    </row>
    <row r="27" customFormat="false" ht="15" hidden="false" customHeight="false" outlineLevel="0" collapsed="false">
      <c r="A27" s="16" t="s">
        <v>229</v>
      </c>
      <c r="B27" s="16" t="s">
        <v>54</v>
      </c>
      <c r="C27" s="16" t="s">
        <v>55</v>
      </c>
      <c r="D27" s="16" t="s">
        <v>56</v>
      </c>
      <c r="E27" s="16" t="s">
        <v>57</v>
      </c>
      <c r="F27" s="16" t="s">
        <v>58</v>
      </c>
      <c r="G27" s="16" t="s">
        <v>230</v>
      </c>
    </row>
    <row r="28" customFormat="false" ht="15" hidden="false" customHeight="false" outlineLevel="0" collapsed="false">
      <c r="A28" s="27" t="s">
        <v>231</v>
      </c>
      <c r="B28" s="34" t="n">
        <v>145.0467</v>
      </c>
      <c r="C28" s="34" t="n">
        <v>163.56</v>
      </c>
      <c r="D28" s="34" t="n">
        <v>168.378</v>
      </c>
      <c r="E28" s="34" t="n">
        <v>178</v>
      </c>
      <c r="F28" s="34" t="n">
        <v>183</v>
      </c>
      <c r="G28" s="28"/>
    </row>
    <row r="29" customFormat="false" ht="15" hidden="false" customHeight="false" outlineLevel="0" collapsed="false">
      <c r="A29" s="20" t="s">
        <v>232</v>
      </c>
      <c r="B29" s="33" t="n">
        <v>191.008</v>
      </c>
      <c r="C29" s="33" t="n">
        <v>218.08</v>
      </c>
      <c r="D29" s="33" t="n">
        <v>248.558</v>
      </c>
      <c r="E29" s="33" t="n">
        <v>269.5</v>
      </c>
      <c r="F29" s="33" t="n">
        <v>309</v>
      </c>
      <c r="G29" s="22"/>
    </row>
    <row r="30" customFormat="false" ht="15" hidden="false" customHeight="false" outlineLevel="0" collapsed="false">
      <c r="A30" s="27" t="s">
        <v>233</v>
      </c>
      <c r="B30" s="34" t="n">
        <v>182.0545</v>
      </c>
      <c r="C30" s="34" t="n">
        <v>231.71</v>
      </c>
      <c r="D30" s="34" t="n">
        <v>312.702</v>
      </c>
      <c r="E30" s="34" t="n">
        <v>324.9</v>
      </c>
      <c r="F30" s="34" t="n">
        <v>402.2</v>
      </c>
      <c r="G30" s="28"/>
    </row>
    <row r="31" customFormat="false" ht="15" hidden="false" customHeight="false" outlineLevel="0" collapsed="false">
      <c r="A31" s="20" t="s">
        <v>234</v>
      </c>
      <c r="B31" s="33" t="n">
        <v>59.69</v>
      </c>
      <c r="C31" s="33" t="n">
        <v>68.15</v>
      </c>
      <c r="D31" s="33" t="n">
        <v>80.18</v>
      </c>
      <c r="E31" s="33" t="n">
        <v>75.7</v>
      </c>
      <c r="F31" s="33" t="n">
        <v>96.8</v>
      </c>
      <c r="G31" s="22"/>
    </row>
    <row r="32" customFormat="false" ht="15" hidden="false" customHeight="false" outlineLevel="0" collapsed="false">
      <c r="A32" s="27"/>
      <c r="B32" s="34"/>
      <c r="C32" s="34"/>
      <c r="D32" s="34"/>
      <c r="E32" s="34"/>
      <c r="F32" s="34"/>
      <c r="G32" s="28"/>
    </row>
    <row r="33" customFormat="false" ht="15" hidden="false" customHeight="false" outlineLevel="0" collapsed="false">
      <c r="A33" s="20" t="s">
        <v>158</v>
      </c>
      <c r="B33" s="21" t="n">
        <v>0.243</v>
      </c>
      <c r="C33" s="21" t="n">
        <v>0.24</v>
      </c>
      <c r="D33" s="21" t="n">
        <v>0.21</v>
      </c>
      <c r="E33" s="21" t="n">
        <v>0.209018318459371</v>
      </c>
      <c r="F33" s="21" t="n">
        <v>0.183808758537565</v>
      </c>
      <c r="G33" s="41" t="n">
        <v>-0.0591912414624347</v>
      </c>
    </row>
    <row r="34" customFormat="false" ht="15" hidden="false" customHeight="false" outlineLevel="0" collapsed="false">
      <c r="A34" s="27" t="s">
        <v>159</v>
      </c>
      <c r="B34" s="35" t="n">
        <v>0.32</v>
      </c>
      <c r="C34" s="35" t="n">
        <v>0.32</v>
      </c>
      <c r="D34" s="35" t="n">
        <v>0.31</v>
      </c>
      <c r="E34" s="35" t="n">
        <v>0.316463128229216</v>
      </c>
      <c r="F34" s="35" t="n">
        <v>0.310365608678184</v>
      </c>
      <c r="G34" s="42" t="n">
        <v>-0.00963439132181598</v>
      </c>
    </row>
    <row r="35" customFormat="false" ht="15" hidden="false" customHeight="false" outlineLevel="0" collapsed="false">
      <c r="A35" s="20" t="s">
        <v>160</v>
      </c>
      <c r="B35" s="21" t="n">
        <v>0.305</v>
      </c>
      <c r="C35" s="21" t="n">
        <v>0.34</v>
      </c>
      <c r="D35" s="21" t="n">
        <v>0.39</v>
      </c>
      <c r="E35" s="21" t="n">
        <v>0.381517144199155</v>
      </c>
      <c r="F35" s="21" t="n">
        <v>0.403977501004419</v>
      </c>
      <c r="G35" s="41" t="n">
        <v>0.0989775010044194</v>
      </c>
    </row>
    <row r="36" customFormat="false" ht="15" hidden="false" customHeight="false" outlineLevel="0" collapsed="false">
      <c r="A36" s="27" t="s">
        <v>161</v>
      </c>
      <c r="B36" s="35" t="n">
        <v>0.1</v>
      </c>
      <c r="C36" s="35" t="n">
        <v>0.1</v>
      </c>
      <c r="D36" s="35" t="n">
        <v>0.1</v>
      </c>
      <c r="E36" s="35" t="n">
        <v>0.0888914983560357</v>
      </c>
      <c r="F36" s="35" t="n">
        <v>0.0972278023302531</v>
      </c>
      <c r="G36" s="42" t="n">
        <v>-0.0027721976697469</v>
      </c>
    </row>
    <row r="38" customFormat="false" ht="26.85" hidden="false" customHeight="false" outlineLevel="0" collapsed="false">
      <c r="A38" s="14" t="s">
        <v>235</v>
      </c>
      <c r="B38" s="15"/>
      <c r="C38" s="15"/>
      <c r="D38" s="15"/>
      <c r="E38" s="15"/>
      <c r="F38" s="15"/>
      <c r="G38" s="15"/>
    </row>
    <row r="39" customFormat="false" ht="15" hidden="false" customHeight="false" outlineLevel="0" collapsed="false">
      <c r="A39" s="16" t="s">
        <v>53</v>
      </c>
      <c r="B39" s="16" t="s">
        <v>236</v>
      </c>
      <c r="C39" s="16"/>
      <c r="D39" s="16"/>
      <c r="E39" s="16"/>
      <c r="F39" s="16"/>
      <c r="G39" s="16" t="s">
        <v>112</v>
      </c>
    </row>
    <row r="40" customFormat="false" ht="15" hidden="false" customHeight="false" outlineLevel="0" collapsed="false">
      <c r="A40" s="27" t="s">
        <v>237</v>
      </c>
      <c r="B40" s="35" t="n">
        <v>0.169</v>
      </c>
      <c r="C40" s="28"/>
      <c r="D40" s="28"/>
      <c r="E40" s="28"/>
      <c r="F40" s="28"/>
      <c r="G40" s="28"/>
    </row>
    <row r="41" customFormat="false" ht="23.85" hidden="false" customHeight="false" outlineLevel="0" collapsed="false">
      <c r="A41" s="20" t="s">
        <v>238</v>
      </c>
      <c r="B41" s="21" t="n">
        <v>0.172</v>
      </c>
      <c r="C41" s="22"/>
      <c r="D41" s="22"/>
      <c r="E41" s="22"/>
      <c r="F41" s="22"/>
      <c r="G41" s="22"/>
    </row>
    <row r="42" customFormat="false" ht="23.85" hidden="false" customHeight="false" outlineLevel="0" collapsed="false">
      <c r="A42" s="27" t="s">
        <v>239</v>
      </c>
      <c r="B42" s="35" t="n">
        <v>0.137</v>
      </c>
      <c r="C42" s="28"/>
      <c r="D42" s="28"/>
      <c r="E42" s="28"/>
      <c r="F42" s="28"/>
      <c r="G42" s="28"/>
    </row>
    <row r="43" customFormat="false" ht="15" hidden="false" customHeight="false" outlineLevel="0" collapsed="false">
      <c r="A43" s="20" t="s">
        <v>240</v>
      </c>
      <c r="B43" s="21" t="n">
        <v>0.14</v>
      </c>
      <c r="C43" s="22"/>
      <c r="D43" s="22"/>
      <c r="E43" s="22"/>
      <c r="F43" s="22"/>
      <c r="G43" s="22"/>
    </row>
    <row r="44" customFormat="false" ht="15" hidden="false" customHeight="false" outlineLevel="0" collapsed="false">
      <c r="A44" s="27" t="s">
        <v>241</v>
      </c>
      <c r="B44" s="34" t="n">
        <v>27.5</v>
      </c>
      <c r="C44" s="28"/>
      <c r="D44" s="28"/>
      <c r="E44" s="28"/>
      <c r="F44" s="28"/>
      <c r="G44" s="28"/>
    </row>
    <row r="45" customFormat="false" ht="15" hidden="false" customHeight="false" outlineLevel="0" collapsed="false">
      <c r="A45" s="20" t="s">
        <v>242</v>
      </c>
      <c r="B45" s="21" t="n">
        <v>0.0276215347529128</v>
      </c>
      <c r="C45" s="22"/>
      <c r="D45" s="22"/>
      <c r="E45" s="22"/>
      <c r="F45" s="22"/>
      <c r="G45" s="22"/>
    </row>
    <row r="46" customFormat="false" ht="15" hidden="false" customHeight="false" outlineLevel="0" collapsed="false">
      <c r="A46" s="27"/>
      <c r="B46" s="28"/>
      <c r="C46" s="28"/>
      <c r="D46" s="28"/>
      <c r="E46" s="28"/>
      <c r="F46" s="28"/>
      <c r="G46" s="28"/>
    </row>
    <row r="47" customFormat="false" ht="15" hidden="false" customHeight="false" outlineLevel="0" collapsed="false">
      <c r="A47" s="20" t="s">
        <v>243</v>
      </c>
      <c r="B47" s="21" t="n">
        <v>0.419</v>
      </c>
      <c r="C47" s="22"/>
      <c r="D47" s="22"/>
      <c r="E47" s="22"/>
      <c r="F47" s="22"/>
      <c r="G47" s="22"/>
    </row>
    <row r="48" customFormat="false" ht="15" hidden="false" customHeight="false" outlineLevel="0" collapsed="false">
      <c r="A48" s="27" t="s">
        <v>244</v>
      </c>
      <c r="B48" s="35" t="n">
        <v>0.416</v>
      </c>
      <c r="C48" s="28"/>
      <c r="D48" s="28"/>
      <c r="E48" s="28"/>
      <c r="F48" s="28"/>
      <c r="G48" s="28"/>
    </row>
    <row r="49" customFormat="false" ht="15" hidden="false" customHeight="false" outlineLevel="0" collapsed="false">
      <c r="A49" s="20" t="s">
        <v>245</v>
      </c>
      <c r="B49" s="21" t="n">
        <v>0.346</v>
      </c>
      <c r="C49" s="22"/>
      <c r="D49" s="22"/>
      <c r="E49" s="22"/>
      <c r="F49" s="22"/>
      <c r="G49" s="22"/>
    </row>
    <row r="50" customFormat="false" ht="15" hidden="false" customHeight="false" outlineLevel="0" collapsed="false">
      <c r="A50" s="27" t="s">
        <v>246</v>
      </c>
      <c r="B50" s="35" t="n">
        <v>0.342</v>
      </c>
      <c r="C50" s="28"/>
      <c r="D50" s="28"/>
      <c r="E50" s="28"/>
      <c r="F50" s="28"/>
      <c r="G50" s="28"/>
    </row>
    <row r="51" customFormat="false" ht="15" hidden="false" customHeight="false" outlineLevel="0" collapsed="false">
      <c r="A51" s="20"/>
      <c r="B51" s="22"/>
      <c r="C51" s="22"/>
      <c r="D51" s="22"/>
      <c r="E51" s="22"/>
      <c r="F51" s="22"/>
      <c r="G51" s="22"/>
    </row>
    <row r="52" customFormat="false" ht="15" hidden="false" customHeight="false" outlineLevel="0" collapsed="false">
      <c r="A52" s="27" t="s">
        <v>247</v>
      </c>
      <c r="B52" s="35" t="n">
        <v>0.881</v>
      </c>
      <c r="C52" s="28"/>
      <c r="D52" s="28"/>
      <c r="E52" s="28"/>
      <c r="F52" s="28"/>
      <c r="G52" s="28"/>
    </row>
    <row r="53" customFormat="false" ht="15" hidden="false" customHeight="false" outlineLevel="0" collapsed="false">
      <c r="A53" s="20" t="s">
        <v>248</v>
      </c>
      <c r="B53" s="21" t="n">
        <v>0.795</v>
      </c>
      <c r="C53" s="22"/>
      <c r="D53" s="22"/>
      <c r="E53" s="22"/>
      <c r="F53" s="22"/>
      <c r="G53" s="22"/>
    </row>
    <row r="54" customFormat="false" ht="15" hidden="false" customHeight="false" outlineLevel="0" collapsed="false">
      <c r="A54" s="27"/>
      <c r="B54" s="28"/>
      <c r="C54" s="28"/>
      <c r="D54" s="28"/>
      <c r="E54" s="28"/>
      <c r="F54" s="28"/>
      <c r="G54" s="28"/>
    </row>
    <row r="55" customFormat="false" ht="23.85" hidden="false" customHeight="false" outlineLevel="0" collapsed="false">
      <c r="A55" s="20" t="s">
        <v>249</v>
      </c>
      <c r="B55" s="21" t="n">
        <v>0.311</v>
      </c>
      <c r="C55" s="22"/>
      <c r="D55" s="22"/>
      <c r="E55" s="22"/>
      <c r="F55" s="22"/>
      <c r="G55" s="22"/>
    </row>
    <row r="56" customFormat="false" ht="23.85" hidden="false" customHeight="false" outlineLevel="0" collapsed="false">
      <c r="A56" s="27" t="s">
        <v>250</v>
      </c>
      <c r="B56" s="35" t="n">
        <v>0.302</v>
      </c>
      <c r="C56" s="28"/>
      <c r="D56" s="28"/>
      <c r="E56" s="28"/>
      <c r="F56" s="28"/>
      <c r="G56" s="28"/>
    </row>
    <row r="57" customFormat="false" ht="15" hidden="false" customHeight="false" outlineLevel="0" collapsed="false">
      <c r="A57" s="20" t="s">
        <v>251</v>
      </c>
      <c r="B57" s="21" t="n">
        <v>0.2</v>
      </c>
      <c r="C57" s="22"/>
      <c r="D57" s="22"/>
      <c r="E57" s="22"/>
      <c r="F57" s="22"/>
      <c r="G57" s="22"/>
    </row>
    <row r="59" customFormat="false" ht="15" hidden="false" customHeight="false" outlineLevel="0" collapsed="false">
      <c r="A59" s="10" t="s">
        <v>252</v>
      </c>
    </row>
    <row r="60" customFormat="false" ht="15" hidden="false" customHeight="false" outlineLevel="0" collapsed="false">
      <c r="A60" s="0" t="s">
        <v>253</v>
      </c>
    </row>
    <row r="61" customFormat="false" ht="15" hidden="false" customHeight="false" outlineLevel="0" collapsed="false">
      <c r="A61" s="0" t="s">
        <v>254</v>
      </c>
      <c r="B61" s="0" t="n">
        <v>2020</v>
      </c>
      <c r="C61" s="0" t="n">
        <v>2021</v>
      </c>
      <c r="D61" s="0" t="n">
        <v>2022</v>
      </c>
      <c r="E61" s="0" t="n">
        <v>2023</v>
      </c>
      <c r="F61" s="0" t="n">
        <v>2024</v>
      </c>
    </row>
    <row r="62" customFormat="false" ht="15" hidden="false" customHeight="false" outlineLevel="0" collapsed="false">
      <c r="A62" s="0" t="s">
        <v>255</v>
      </c>
      <c r="B62" s="0" t="n">
        <v>90.4</v>
      </c>
      <c r="C62" s="0" t="n">
        <v>132</v>
      </c>
      <c r="D62" s="0" t="n">
        <v>204.2</v>
      </c>
      <c r="E62" s="0" t="n">
        <v>301.8</v>
      </c>
      <c r="F62" s="0" t="n">
        <v>567.8</v>
      </c>
    </row>
    <row r="63" customFormat="false" ht="15" hidden="false" customHeight="false" outlineLevel="0" collapsed="false">
      <c r="A63" s="0" t="s">
        <v>256</v>
      </c>
      <c r="B63" s="0" t="n">
        <v>268.6</v>
      </c>
      <c r="C63" s="0" t="n">
        <v>284.7</v>
      </c>
      <c r="D63" s="0" t="n">
        <v>328.4</v>
      </c>
      <c r="E63" s="0" t="n">
        <v>350.9</v>
      </c>
      <c r="F63" s="0" t="n">
        <v>293.4</v>
      </c>
    </row>
    <row r="64" customFormat="false" ht="15" hidden="false" customHeight="false" outlineLevel="0" collapsed="false">
      <c r="A64" s="0" t="s">
        <v>257</v>
      </c>
      <c r="B64" s="0" t="n">
        <v>210</v>
      </c>
      <c r="C64" s="0" t="n">
        <v>234.8</v>
      </c>
      <c r="D64" s="0" t="n">
        <v>235</v>
      </c>
      <c r="E64" s="0" t="n">
        <v>161.1</v>
      </c>
      <c r="F64" s="0" t="n">
        <v>100.7</v>
      </c>
    </row>
    <row r="65" customFormat="false" ht="15" hidden="false" customHeight="false" outlineLevel="0" collapsed="false">
      <c r="A65" s="0" t="s">
        <v>258</v>
      </c>
      <c r="B65" s="0" t="n">
        <v>27.9</v>
      </c>
      <c r="C65" s="0" t="n">
        <v>30</v>
      </c>
      <c r="D65" s="0" t="n">
        <v>34.1999999999999</v>
      </c>
      <c r="E65" s="0" t="n">
        <v>37.8</v>
      </c>
      <c r="F65" s="0" t="n">
        <v>33.6999999999999</v>
      </c>
    </row>
    <row r="80" customFormat="false" ht="15" hidden="false" customHeight="false" outlineLevel="0" collapsed="false">
      <c r="A80" s="0" t="s">
        <v>229</v>
      </c>
      <c r="B80" s="0" t="s">
        <v>259</v>
      </c>
    </row>
    <row r="81" customFormat="false" ht="15" hidden="false" customHeight="false" outlineLevel="0" collapsed="false">
      <c r="A81" s="0" t="s">
        <v>150</v>
      </c>
      <c r="B81" s="0" t="n">
        <v>183</v>
      </c>
    </row>
    <row r="82" customFormat="false" ht="15" hidden="false" customHeight="false" outlineLevel="0" collapsed="false">
      <c r="A82" s="0" t="s">
        <v>260</v>
      </c>
      <c r="B82" s="0" t="n">
        <v>309</v>
      </c>
    </row>
    <row r="83" customFormat="false" ht="15" hidden="false" customHeight="false" outlineLevel="0" collapsed="false">
      <c r="A83" s="0" t="s">
        <v>154</v>
      </c>
      <c r="B83" s="0" t="n">
        <v>402.2</v>
      </c>
    </row>
    <row r="84" customFormat="false" ht="15" hidden="false" customHeight="false" outlineLevel="0" collapsed="false">
      <c r="A84" s="0" t="s">
        <v>155</v>
      </c>
      <c r="B84" s="0" t="n">
        <v>96.8</v>
      </c>
    </row>
    <row r="85" customFormat="false" ht="15" hidden="false" customHeight="false" outlineLevel="0" collapsed="false">
      <c r="A85" s="0" t="s">
        <v>156</v>
      </c>
      <c r="B85" s="0" t="n">
        <v>4.5</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AE60"/>
    <pageSetUpPr fitToPage="false"/>
  </sheetPr>
  <dimension ref="A1:G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5"/>
    <col collapsed="false" customWidth="true" hidden="false" outlineLevel="0" max="7" min="2" style="0" width="14"/>
  </cols>
  <sheetData>
    <row r="1" customFormat="false" ht="19.7" hidden="false" customHeight="false" outlineLevel="0" collapsed="false">
      <c r="A1" s="31" t="s">
        <v>261</v>
      </c>
      <c r="B1" s="31"/>
      <c r="C1" s="31"/>
      <c r="D1" s="31"/>
      <c r="E1" s="31"/>
      <c r="F1" s="31"/>
      <c r="G1" s="31"/>
    </row>
    <row r="3" customFormat="false" ht="26.85" hidden="false" customHeight="false" outlineLevel="0" collapsed="false">
      <c r="A3" s="14" t="s">
        <v>262</v>
      </c>
      <c r="B3" s="15"/>
      <c r="C3" s="15"/>
      <c r="D3" s="15"/>
      <c r="E3" s="15"/>
      <c r="F3" s="15"/>
      <c r="G3" s="15"/>
    </row>
    <row r="4" customFormat="false" ht="15" hidden="false" customHeight="false" outlineLevel="0" collapsed="false">
      <c r="A4" s="16" t="s">
        <v>53</v>
      </c>
      <c r="B4" s="16" t="s">
        <v>54</v>
      </c>
      <c r="C4" s="16" t="s">
        <v>55</v>
      </c>
      <c r="D4" s="16" t="s">
        <v>56</v>
      </c>
      <c r="E4" s="16" t="s">
        <v>57</v>
      </c>
      <c r="F4" s="16" t="s">
        <v>58</v>
      </c>
      <c r="G4" s="16" t="s">
        <v>263</v>
      </c>
    </row>
    <row r="5" customFormat="false" ht="15" hidden="false" customHeight="false" outlineLevel="0" collapsed="false">
      <c r="A5" s="17" t="s">
        <v>214</v>
      </c>
      <c r="B5" s="18" t="n">
        <v>596.9</v>
      </c>
      <c r="C5" s="18" t="n">
        <v>681.5</v>
      </c>
      <c r="D5" s="18" t="n">
        <v>801.8</v>
      </c>
      <c r="E5" s="18" t="n">
        <v>851.6</v>
      </c>
      <c r="F5" s="18" t="n">
        <v>995.6</v>
      </c>
      <c r="G5" s="19" t="n">
        <v>0.136438209628426</v>
      </c>
    </row>
    <row r="6" customFormat="false" ht="15" hidden="false" customHeight="false" outlineLevel="0" collapsed="false">
      <c r="A6" s="23" t="s">
        <v>62</v>
      </c>
      <c r="B6" s="24" t="n">
        <v>359</v>
      </c>
      <c r="C6" s="24" t="n">
        <v>416.7</v>
      </c>
      <c r="D6" s="24" t="n">
        <v>532.6</v>
      </c>
      <c r="E6" s="24" t="n">
        <v>652.7</v>
      </c>
      <c r="F6" s="24" t="n">
        <v>861.2</v>
      </c>
      <c r="G6" s="25" t="n">
        <v>0.244521469583569</v>
      </c>
    </row>
    <row r="7" customFormat="false" ht="15" hidden="false" customHeight="false" outlineLevel="0" collapsed="false">
      <c r="A7" s="27" t="s">
        <v>264</v>
      </c>
      <c r="B7" s="34" t="n">
        <v>90.4</v>
      </c>
      <c r="C7" s="34" t="n">
        <v>132</v>
      </c>
      <c r="D7" s="34" t="n">
        <v>204.2</v>
      </c>
      <c r="E7" s="34" t="n">
        <v>301.8</v>
      </c>
      <c r="F7" s="34" t="n">
        <v>567.8</v>
      </c>
      <c r="G7" s="35" t="n">
        <v>0.583094133141358</v>
      </c>
    </row>
    <row r="8" customFormat="false" ht="15" hidden="false" customHeight="false" outlineLevel="0" collapsed="false">
      <c r="A8" s="20" t="s">
        <v>265</v>
      </c>
      <c r="B8" s="33" t="n">
        <v>268.6</v>
      </c>
      <c r="C8" s="33" t="n">
        <v>284.7</v>
      </c>
      <c r="D8" s="33" t="n">
        <v>328.4</v>
      </c>
      <c r="E8" s="33" t="n">
        <v>350.9</v>
      </c>
      <c r="F8" s="33" t="n">
        <v>293.4</v>
      </c>
      <c r="G8" s="21" t="n">
        <v>0.0223239268272204</v>
      </c>
    </row>
    <row r="9" customFormat="false" ht="15" hidden="false" customHeight="false" outlineLevel="0" collapsed="false">
      <c r="A9" s="17" t="s">
        <v>266</v>
      </c>
      <c r="B9" s="18" t="n">
        <v>210</v>
      </c>
      <c r="C9" s="18" t="n">
        <v>234.8</v>
      </c>
      <c r="D9" s="18" t="n">
        <v>235</v>
      </c>
      <c r="E9" s="18" t="n">
        <v>161.1</v>
      </c>
      <c r="F9" s="18" t="n">
        <v>100.7</v>
      </c>
      <c r="G9" s="19" t="n">
        <v>-0.167848224854758</v>
      </c>
    </row>
    <row r="10" customFormat="false" ht="15" hidden="false" customHeight="false" outlineLevel="0" collapsed="false">
      <c r="A10" s="20" t="s">
        <v>267</v>
      </c>
      <c r="B10" s="33" t="n">
        <v>27.9</v>
      </c>
      <c r="C10" s="33" t="n">
        <v>30</v>
      </c>
      <c r="D10" s="33" t="n">
        <v>34.1999999999999</v>
      </c>
      <c r="E10" s="33" t="n">
        <v>37.8</v>
      </c>
      <c r="F10" s="33" t="n">
        <v>33.6999999999999</v>
      </c>
      <c r="G10" s="21" t="n">
        <v>0.0483503014254494</v>
      </c>
    </row>
    <row r="11" customFormat="false" ht="15" hidden="false" customHeight="false" outlineLevel="0" collapsed="false">
      <c r="A11" s="27"/>
      <c r="B11" s="34"/>
      <c r="C11" s="34"/>
      <c r="D11" s="34"/>
      <c r="E11" s="34"/>
      <c r="F11" s="34"/>
      <c r="G11" s="28"/>
    </row>
    <row r="12" customFormat="false" ht="15" hidden="false" customHeight="false" outlineLevel="0" collapsed="false">
      <c r="A12" s="23" t="s">
        <v>268</v>
      </c>
      <c r="B12" s="25" t="n">
        <v>0.60144077734964</v>
      </c>
      <c r="C12" s="25" t="n">
        <v>0.611445341159208</v>
      </c>
      <c r="D12" s="25" t="n">
        <v>0.664255425293091</v>
      </c>
      <c r="E12" s="25" t="n">
        <v>0.766439643024894</v>
      </c>
      <c r="F12" s="25" t="n">
        <v>0.865006026516673</v>
      </c>
      <c r="G12" s="36"/>
    </row>
    <row r="13" customFormat="false" ht="15" hidden="false" customHeight="false" outlineLevel="0" collapsed="false">
      <c r="A13" s="27" t="s">
        <v>269</v>
      </c>
      <c r="B13" s="35" t="n">
        <v>0.151449153962138</v>
      </c>
      <c r="C13" s="35" t="n">
        <v>0.193690388848129</v>
      </c>
      <c r="D13" s="35" t="n">
        <v>0.254676976802195</v>
      </c>
      <c r="E13" s="35" t="n">
        <v>0.354391733208079</v>
      </c>
      <c r="F13" s="35" t="n">
        <v>0.570309361189233</v>
      </c>
      <c r="G13" s="28"/>
    </row>
    <row r="14" customFormat="false" ht="15" hidden="false" customHeight="false" outlineLevel="0" collapsed="false">
      <c r="A14" s="20" t="s">
        <v>270</v>
      </c>
      <c r="B14" s="21" t="n">
        <v>0.251810584958217</v>
      </c>
      <c r="C14" s="21" t="n">
        <v>0.316774658027358</v>
      </c>
      <c r="D14" s="21" t="n">
        <v>0.383402177994743</v>
      </c>
      <c r="E14" s="21" t="n">
        <v>0.462387007813697</v>
      </c>
      <c r="F14" s="21" t="n">
        <v>0.659312587087784</v>
      </c>
      <c r="G14" s="22"/>
    </row>
    <row r="15" customFormat="false" ht="15" hidden="false" customHeight="false" outlineLevel="0" collapsed="false">
      <c r="A15" s="27" t="s">
        <v>271</v>
      </c>
      <c r="B15" s="35" t="n">
        <v>0.748189415041783</v>
      </c>
      <c r="C15" s="35" t="n">
        <v>0.683225341972642</v>
      </c>
      <c r="D15" s="35" t="n">
        <v>0.616597822005257</v>
      </c>
      <c r="E15" s="35" t="n">
        <v>0.537612992186303</v>
      </c>
      <c r="F15" s="35" t="n">
        <v>0.340687412912216</v>
      </c>
      <c r="G15" s="28"/>
    </row>
    <row r="16" customFormat="false" ht="15" hidden="false" customHeight="false" outlineLevel="0" collapsed="false">
      <c r="A16" s="20" t="s">
        <v>272</v>
      </c>
      <c r="B16" s="21" t="n">
        <v>0.351817724912046</v>
      </c>
      <c r="C16" s="21" t="n">
        <v>0.344534115920763</v>
      </c>
      <c r="D16" s="21" t="n">
        <v>0.293090546270891</v>
      </c>
      <c r="E16" s="21" t="n">
        <v>0.189173320807891</v>
      </c>
      <c r="F16" s="21" t="n">
        <v>0.101145038167939</v>
      </c>
      <c r="G16" s="22"/>
    </row>
    <row r="17" customFormat="false" ht="15" hidden="false" customHeight="false" outlineLevel="0" collapsed="false">
      <c r="A17" s="27"/>
      <c r="B17" s="34"/>
      <c r="C17" s="34"/>
      <c r="D17" s="34"/>
      <c r="E17" s="34"/>
      <c r="F17" s="34"/>
      <c r="G17" s="28"/>
    </row>
    <row r="18" customFormat="false" ht="15" hidden="false" customHeight="false" outlineLevel="0" collapsed="false">
      <c r="A18" s="23" t="s">
        <v>273</v>
      </c>
      <c r="B18" s="24"/>
      <c r="C18" s="24"/>
      <c r="D18" s="24"/>
      <c r="E18" s="24"/>
      <c r="F18" s="24"/>
      <c r="G18" s="36"/>
    </row>
    <row r="19" customFormat="false" ht="15" hidden="false" customHeight="false" outlineLevel="0" collapsed="false">
      <c r="A19" s="27" t="s">
        <v>216</v>
      </c>
      <c r="B19" s="35"/>
      <c r="C19" s="35" t="n">
        <v>0.460176991150442</v>
      </c>
      <c r="D19" s="35" t="n">
        <v>0.546969696969697</v>
      </c>
      <c r="E19" s="35" t="n">
        <v>0.47796278158668</v>
      </c>
      <c r="F19" s="35" t="n">
        <v>0.881378396288933</v>
      </c>
      <c r="G19" s="28"/>
    </row>
    <row r="20" customFormat="false" ht="15" hidden="false" customHeight="false" outlineLevel="0" collapsed="false">
      <c r="A20" s="20" t="s">
        <v>117</v>
      </c>
      <c r="B20" s="21"/>
      <c r="C20" s="21" t="n">
        <v>0.160724233983287</v>
      </c>
      <c r="D20" s="21" t="n">
        <v>0.278137748980082</v>
      </c>
      <c r="E20" s="21" t="n">
        <v>0.225497559143823</v>
      </c>
      <c r="F20" s="21" t="n">
        <v>0.319442316531331</v>
      </c>
      <c r="G20" s="22"/>
    </row>
    <row r="21" customFormat="false" ht="15" hidden="false" customHeight="false" outlineLevel="0" collapsed="false">
      <c r="A21" s="27" t="s">
        <v>218</v>
      </c>
      <c r="B21" s="35"/>
      <c r="C21" s="35" t="n">
        <v>0.118095238095238</v>
      </c>
      <c r="D21" s="35" t="n">
        <v>0.000851788756388367</v>
      </c>
      <c r="E21" s="35" t="n">
        <v>-0.314468085106383</v>
      </c>
      <c r="F21" s="35" t="n">
        <v>-0.374922408441962</v>
      </c>
      <c r="G21" s="28"/>
    </row>
    <row r="22" customFormat="false" ht="15" hidden="false" customHeight="false" outlineLevel="0" collapsed="false">
      <c r="A22" s="20" t="s">
        <v>274</v>
      </c>
      <c r="B22" s="21"/>
      <c r="C22" s="21" t="n">
        <v>0.141732283464567</v>
      </c>
      <c r="D22" s="21" t="n">
        <v>0.176522377109318</v>
      </c>
      <c r="E22" s="21" t="n">
        <v>0.0621102519331505</v>
      </c>
      <c r="F22" s="21" t="n">
        <v>0.169093471113199</v>
      </c>
      <c r="G22" s="22"/>
    </row>
    <row r="25" customFormat="false" ht="26.85" hidden="false" customHeight="false" outlineLevel="0" collapsed="false">
      <c r="A25" s="14" t="s">
        <v>275</v>
      </c>
      <c r="B25" s="15"/>
      <c r="C25" s="15"/>
      <c r="D25" s="15"/>
      <c r="E25" s="15"/>
      <c r="F25" s="15"/>
      <c r="G25" s="15"/>
    </row>
    <row r="26" customFormat="false" ht="15" hidden="false" customHeight="false" outlineLevel="0" collapsed="false">
      <c r="A26" s="16" t="s">
        <v>53</v>
      </c>
      <c r="B26" s="16" t="s">
        <v>54</v>
      </c>
      <c r="C26" s="16" t="s">
        <v>55</v>
      </c>
      <c r="D26" s="16" t="s">
        <v>56</v>
      </c>
      <c r="E26" s="16" t="s">
        <v>57</v>
      </c>
      <c r="F26" s="16" t="s">
        <v>58</v>
      </c>
      <c r="G26" s="16" t="s">
        <v>276</v>
      </c>
    </row>
    <row r="27" customFormat="false" ht="15" hidden="false" customHeight="false" outlineLevel="0" collapsed="false">
      <c r="A27" s="27" t="s">
        <v>277</v>
      </c>
      <c r="B27" s="34"/>
      <c r="C27" s="34" t="n">
        <v>456.5</v>
      </c>
      <c r="D27" s="34" t="n">
        <v>581.7</v>
      </c>
      <c r="E27" s="34" t="n">
        <v>718.6</v>
      </c>
      <c r="F27" s="34" t="n">
        <v>1019.9</v>
      </c>
      <c r="G27" s="28" t="s">
        <v>278</v>
      </c>
    </row>
    <row r="28" customFormat="false" ht="15" hidden="false" customHeight="false" outlineLevel="0" collapsed="false">
      <c r="A28" s="20" t="s">
        <v>279</v>
      </c>
      <c r="B28" s="21"/>
      <c r="C28" s="21"/>
      <c r="D28" s="21" t="n">
        <v>0.274260679079956</v>
      </c>
      <c r="E28" s="21" t="n">
        <v>0.235344679388001</v>
      </c>
      <c r="F28" s="21" t="n">
        <v>0.419287503478987</v>
      </c>
      <c r="G28" s="22"/>
    </row>
    <row r="29" customFormat="false" ht="15" hidden="false" customHeight="false" outlineLevel="0" collapsed="false">
      <c r="A29" s="27" t="s">
        <v>280</v>
      </c>
      <c r="B29" s="35"/>
      <c r="C29" s="35" t="n">
        <v>0.66984592809978</v>
      </c>
      <c r="D29" s="35" t="n">
        <v>0.725492641556498</v>
      </c>
      <c r="E29" s="35" t="n">
        <v>0.843823391263504</v>
      </c>
      <c r="F29" s="35" t="n">
        <v>1.02440739252712</v>
      </c>
      <c r="G29" s="28" t="s">
        <v>281</v>
      </c>
    </row>
    <row r="30" customFormat="false" ht="15" hidden="false" customHeight="false" outlineLevel="0" collapsed="false">
      <c r="A30" s="20"/>
      <c r="B30" s="33"/>
      <c r="C30" s="33"/>
      <c r="D30" s="33"/>
      <c r="E30" s="33"/>
      <c r="F30" s="33"/>
      <c r="G30" s="22"/>
    </row>
    <row r="31" customFormat="false" ht="15" hidden="false" customHeight="false" outlineLevel="0" collapsed="false">
      <c r="A31" s="27" t="s">
        <v>282</v>
      </c>
      <c r="B31" s="34"/>
      <c r="C31" s="34"/>
      <c r="D31" s="34"/>
      <c r="E31" s="34"/>
      <c r="F31" s="34"/>
      <c r="G31" s="28"/>
    </row>
    <row r="32" customFormat="false" ht="15" hidden="false" customHeight="false" outlineLevel="0" collapsed="false">
      <c r="A32" s="20" t="s">
        <v>283</v>
      </c>
      <c r="B32" s="21"/>
      <c r="C32" s="21"/>
      <c r="D32" s="21"/>
      <c r="E32" s="21"/>
      <c r="F32" s="21" t="n">
        <v>0.419</v>
      </c>
      <c r="G32" s="22" t="s">
        <v>284</v>
      </c>
    </row>
    <row r="33" customFormat="false" ht="15" hidden="false" customHeight="false" outlineLevel="0" collapsed="false">
      <c r="A33" s="27" t="s">
        <v>285</v>
      </c>
      <c r="B33" s="35"/>
      <c r="C33" s="35"/>
      <c r="D33" s="35"/>
      <c r="E33" s="35"/>
      <c r="F33" s="35" t="n">
        <v>0.346</v>
      </c>
      <c r="G33" s="28" t="s">
        <v>286</v>
      </c>
    </row>
    <row r="34" customFormat="false" ht="15" hidden="false" customHeight="false" outlineLevel="0" collapsed="false">
      <c r="A34" s="20" t="s">
        <v>287</v>
      </c>
      <c r="B34" s="21"/>
      <c r="C34" s="21"/>
      <c r="D34" s="21"/>
      <c r="E34" s="21"/>
      <c r="F34" s="21" t="n">
        <v>0.342</v>
      </c>
      <c r="G34" s="22" t="s">
        <v>288</v>
      </c>
    </row>
    <row r="36" customFormat="false" ht="26.85" hidden="false" customHeight="false" outlineLevel="0" collapsed="false">
      <c r="A36" s="14" t="s">
        <v>289</v>
      </c>
      <c r="B36" s="15"/>
      <c r="C36" s="15"/>
      <c r="D36" s="15"/>
      <c r="E36" s="15"/>
      <c r="F36" s="15"/>
      <c r="G36" s="15"/>
    </row>
    <row r="37" customFormat="false" ht="15" hidden="false" customHeight="false" outlineLevel="0" collapsed="false">
      <c r="A37" s="16" t="s">
        <v>53</v>
      </c>
      <c r="B37" s="16" t="s">
        <v>54</v>
      </c>
      <c r="C37" s="16" t="s">
        <v>55</v>
      </c>
      <c r="D37" s="16" t="s">
        <v>56</v>
      </c>
      <c r="E37" s="16" t="s">
        <v>57</v>
      </c>
      <c r="F37" s="16" t="s">
        <v>58</v>
      </c>
      <c r="G37" s="16" t="s">
        <v>276</v>
      </c>
    </row>
    <row r="38" customFormat="false" ht="15" hidden="false" customHeight="false" outlineLevel="0" collapsed="false">
      <c r="A38" s="27" t="s">
        <v>290</v>
      </c>
      <c r="B38" s="34"/>
      <c r="C38" s="34"/>
      <c r="D38" s="34"/>
      <c r="E38" s="34" t="n">
        <v>271.2</v>
      </c>
      <c r="F38" s="34" t="n">
        <v>385.8</v>
      </c>
      <c r="G38" s="28" t="s">
        <v>291</v>
      </c>
    </row>
    <row r="39" customFormat="false" ht="15" hidden="false" customHeight="false" outlineLevel="0" collapsed="false">
      <c r="A39" s="20" t="s">
        <v>292</v>
      </c>
      <c r="B39" s="33"/>
      <c r="C39" s="33"/>
      <c r="D39" s="33"/>
      <c r="E39" s="33" t="n">
        <v>265.1</v>
      </c>
      <c r="F39" s="33" t="n">
        <v>354.6</v>
      </c>
      <c r="G39" s="22" t="s">
        <v>293</v>
      </c>
    </row>
    <row r="40" customFormat="false" ht="15" hidden="false" customHeight="false" outlineLevel="0" collapsed="false">
      <c r="A40" s="27" t="s">
        <v>294</v>
      </c>
      <c r="B40" s="34"/>
      <c r="C40" s="34"/>
      <c r="D40" s="34"/>
      <c r="E40" s="34" t="n">
        <v>6.2</v>
      </c>
      <c r="F40" s="34" t="n">
        <v>31.2</v>
      </c>
      <c r="G40" s="28" t="s">
        <v>295</v>
      </c>
    </row>
    <row r="41" customFormat="false" ht="15" hidden="false" customHeight="false" outlineLevel="0" collapsed="false">
      <c r="A41" s="20" t="s">
        <v>296</v>
      </c>
      <c r="B41" s="21"/>
      <c r="C41" s="21"/>
      <c r="D41" s="21"/>
      <c r="E41" s="21" t="n">
        <v>0.318459370596524</v>
      </c>
      <c r="F41" s="21" t="n">
        <v>0.387505022097228</v>
      </c>
      <c r="G41" s="22" t="s">
        <v>297</v>
      </c>
    </row>
    <row r="42" customFormat="false" ht="15" hidden="false" customHeight="false" outlineLevel="0" collapsed="false">
      <c r="A42" s="27" t="s">
        <v>298</v>
      </c>
      <c r="B42" s="35"/>
      <c r="C42" s="35"/>
      <c r="D42" s="35"/>
      <c r="E42" s="35"/>
      <c r="F42" s="35" t="n">
        <v>0.422566371681416</v>
      </c>
      <c r="G42" s="28" t="s">
        <v>299</v>
      </c>
    </row>
    <row r="43" customFormat="false" ht="15" hidden="false" customHeight="false" outlineLevel="0" collapsed="false">
      <c r="A43" s="20"/>
      <c r="B43" s="33"/>
      <c r="C43" s="33"/>
      <c r="D43" s="33"/>
      <c r="E43" s="33"/>
      <c r="F43" s="33"/>
      <c r="G43" s="22"/>
    </row>
    <row r="44" customFormat="false" ht="15" hidden="false" customHeight="false" outlineLevel="0" collapsed="false">
      <c r="A44" s="27" t="s">
        <v>300</v>
      </c>
      <c r="B44" s="34"/>
      <c r="C44" s="34"/>
      <c r="D44" s="34"/>
      <c r="E44" s="34"/>
      <c r="F44" s="34" t="n">
        <v>265.1</v>
      </c>
      <c r="G44" s="28" t="s">
        <v>301</v>
      </c>
    </row>
    <row r="45" customFormat="false" ht="15" hidden="false" customHeight="false" outlineLevel="0" collapsed="false">
      <c r="A45" s="20" t="s">
        <v>302</v>
      </c>
      <c r="B45" s="21"/>
      <c r="C45" s="21"/>
      <c r="D45" s="21"/>
      <c r="E45" s="21"/>
      <c r="F45" s="21" t="n">
        <v>0.977507374631269</v>
      </c>
      <c r="G45" s="22" t="s">
        <v>303</v>
      </c>
    </row>
    <row r="50" customFormat="false" ht="15" hidden="false" customHeight="false" outlineLevel="0" collapsed="false">
      <c r="A50" s="0" t="s">
        <v>254</v>
      </c>
      <c r="B50" s="0" t="n">
        <v>2020</v>
      </c>
      <c r="C50" s="0" t="n">
        <v>2021</v>
      </c>
      <c r="D50" s="0" t="n">
        <v>2022</v>
      </c>
      <c r="E50" s="0" t="n">
        <v>2023</v>
      </c>
      <c r="F50" s="0" t="n">
        <v>2024</v>
      </c>
    </row>
    <row r="51" customFormat="false" ht="15" hidden="false" customHeight="false" outlineLevel="0" collapsed="false">
      <c r="A51" s="0" t="s">
        <v>255</v>
      </c>
      <c r="B51" s="0" t="n">
        <v>90.4</v>
      </c>
      <c r="C51" s="0" t="n">
        <v>132</v>
      </c>
      <c r="D51" s="0" t="n">
        <v>204.2</v>
      </c>
      <c r="E51" s="0" t="n">
        <v>301.8</v>
      </c>
      <c r="F51" s="0" t="n">
        <v>567.8</v>
      </c>
    </row>
    <row r="52" customFormat="false" ht="15" hidden="false" customHeight="false" outlineLevel="0" collapsed="false">
      <c r="A52" s="0" t="s">
        <v>256</v>
      </c>
      <c r="B52" s="0" t="n">
        <v>268.6</v>
      </c>
      <c r="C52" s="0" t="n">
        <v>284.7</v>
      </c>
      <c r="D52" s="0" t="n">
        <v>328.4</v>
      </c>
      <c r="E52" s="0" t="n">
        <v>350.9</v>
      </c>
      <c r="F52" s="0" t="n">
        <v>293.4</v>
      </c>
    </row>
    <row r="53" customFormat="false" ht="15" hidden="false" customHeight="false" outlineLevel="0" collapsed="false">
      <c r="A53" s="0" t="s">
        <v>257</v>
      </c>
      <c r="B53" s="0" t="n">
        <v>210</v>
      </c>
      <c r="C53" s="0" t="n">
        <v>234.8</v>
      </c>
      <c r="D53" s="0" t="n">
        <v>235</v>
      </c>
      <c r="E53" s="0" t="n">
        <v>161.1</v>
      </c>
      <c r="F53" s="0" t="n">
        <v>100.7</v>
      </c>
    </row>
    <row r="54" customFormat="false" ht="15" hidden="false" customHeight="false" outlineLevel="0" collapsed="false">
      <c r="A54" s="0" t="s">
        <v>258</v>
      </c>
      <c r="B54" s="0" t="n">
        <v>27.9</v>
      </c>
      <c r="C54" s="0" t="n">
        <v>30</v>
      </c>
      <c r="D54" s="0" t="n">
        <v>34.1999999999999</v>
      </c>
      <c r="E54" s="0" t="n">
        <v>37.8</v>
      </c>
      <c r="F54" s="0" t="n">
        <v>33.6999999999999</v>
      </c>
    </row>
    <row r="70" customFormat="false" ht="15" hidden="false" customHeight="false" outlineLevel="0" collapsed="false">
      <c r="A70" s="0" t="s">
        <v>254</v>
      </c>
      <c r="B70" s="0" t="n">
        <v>2020</v>
      </c>
      <c r="C70" s="0" t="n">
        <v>2021</v>
      </c>
      <c r="D70" s="0" t="n">
        <v>2022</v>
      </c>
      <c r="E70" s="0" t="n">
        <v>2023</v>
      </c>
      <c r="F70" s="0" t="n">
        <v>2024</v>
      </c>
    </row>
    <row r="71" customFormat="false" ht="15" hidden="false" customHeight="false" outlineLevel="0" collapsed="false">
      <c r="A71" s="0" t="s">
        <v>304</v>
      </c>
      <c r="C71" s="0" t="n">
        <v>456.5</v>
      </c>
      <c r="D71" s="0" t="n">
        <v>581.7</v>
      </c>
      <c r="E71" s="0" t="n">
        <v>718.6</v>
      </c>
      <c r="F71" s="0" t="n">
        <v>1019.9</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7E22"/>
    <pageSetUpPr fitToPage="false"/>
  </sheetPr>
  <dimension ref="A1:G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7" min="2" style="0" width="14"/>
  </cols>
  <sheetData>
    <row r="1" customFormat="false" ht="19.7" hidden="false" customHeight="false" outlineLevel="0" collapsed="false">
      <c r="A1" s="31" t="s">
        <v>305</v>
      </c>
      <c r="B1" s="31"/>
      <c r="C1" s="31"/>
      <c r="D1" s="31"/>
      <c r="E1" s="31"/>
      <c r="F1" s="31"/>
      <c r="G1" s="31"/>
    </row>
    <row r="3" customFormat="false" ht="15" hidden="false" customHeight="false" outlineLevel="0" collapsed="false">
      <c r="A3" s="14" t="s">
        <v>306</v>
      </c>
      <c r="B3" s="15"/>
      <c r="C3" s="15"/>
      <c r="D3" s="15"/>
      <c r="E3" s="15"/>
      <c r="F3" s="15"/>
      <c r="G3" s="15"/>
    </row>
    <row r="4" customFormat="false" ht="15" hidden="false" customHeight="false" outlineLevel="0" collapsed="false">
      <c r="A4" s="16" t="s">
        <v>307</v>
      </c>
      <c r="B4" s="16" t="s">
        <v>54</v>
      </c>
      <c r="C4" s="16" t="s">
        <v>55</v>
      </c>
      <c r="D4" s="16" t="s">
        <v>56</v>
      </c>
      <c r="E4" s="16" t="s">
        <v>57</v>
      </c>
      <c r="F4" s="16" t="s">
        <v>58</v>
      </c>
      <c r="G4" s="16" t="s">
        <v>308</v>
      </c>
    </row>
    <row r="5" customFormat="false" ht="15" hidden="false" customHeight="false" outlineLevel="0" collapsed="false">
      <c r="A5" s="27" t="s">
        <v>309</v>
      </c>
      <c r="B5" s="34" t="n">
        <v>307.4035</v>
      </c>
      <c r="C5" s="34" t="n">
        <v>354.38</v>
      </c>
      <c r="D5" s="34" t="n">
        <v>392.882</v>
      </c>
      <c r="E5" s="34" t="n">
        <v>432</v>
      </c>
      <c r="F5" s="34" t="n">
        <v>487.6</v>
      </c>
      <c r="G5" s="35" t="n">
        <v>0.131</v>
      </c>
    </row>
    <row r="6" customFormat="false" ht="15" hidden="false" customHeight="false" outlineLevel="0" collapsed="false">
      <c r="A6" s="20" t="s">
        <v>310</v>
      </c>
      <c r="B6" s="33" t="n">
        <v>191.008</v>
      </c>
      <c r="C6" s="33" t="n">
        <v>218.08</v>
      </c>
      <c r="D6" s="33" t="n">
        <v>264.594</v>
      </c>
      <c r="E6" s="33" t="n">
        <v>265.4</v>
      </c>
      <c r="F6" s="33" t="n">
        <v>340.7</v>
      </c>
      <c r="G6" s="21" t="n">
        <v>0.284</v>
      </c>
    </row>
    <row r="7" customFormat="false" ht="15" hidden="false" customHeight="false" outlineLevel="0" collapsed="false">
      <c r="A7" s="27" t="s">
        <v>311</v>
      </c>
      <c r="B7" s="34" t="n">
        <v>32.8295</v>
      </c>
      <c r="C7" s="34" t="n">
        <v>40.89</v>
      </c>
      <c r="D7" s="34" t="n">
        <v>48.108</v>
      </c>
      <c r="E7" s="34" t="n">
        <v>50.4</v>
      </c>
      <c r="F7" s="34" t="n">
        <v>49.9</v>
      </c>
      <c r="G7" s="35" t="n">
        <v>-0.011</v>
      </c>
    </row>
    <row r="8" customFormat="false" ht="15" hidden="false" customHeight="false" outlineLevel="0" collapsed="false">
      <c r="A8" s="20" t="s">
        <v>312</v>
      </c>
      <c r="B8" s="33" t="n">
        <v>65.659</v>
      </c>
      <c r="C8" s="33" t="n">
        <v>68.15</v>
      </c>
      <c r="D8" s="33" t="n">
        <v>104.234</v>
      </c>
      <c r="E8" s="33" t="n">
        <v>111.4</v>
      </c>
      <c r="F8" s="33" t="n">
        <v>117.4</v>
      </c>
      <c r="G8" s="21" t="n">
        <v>0.078</v>
      </c>
    </row>
    <row r="9" customFormat="false" ht="15" hidden="false" customHeight="false" outlineLevel="0" collapsed="false">
      <c r="A9" s="17" t="s">
        <v>313</v>
      </c>
      <c r="B9" s="18" t="n">
        <v>596.9</v>
      </c>
      <c r="C9" s="18" t="n">
        <v>681.5</v>
      </c>
      <c r="D9" s="18" t="n">
        <v>801.8</v>
      </c>
      <c r="E9" s="18" t="n">
        <v>851.6</v>
      </c>
      <c r="F9" s="18" t="n">
        <v>995.6</v>
      </c>
      <c r="G9" s="19" t="n">
        <v>0.169</v>
      </c>
    </row>
    <row r="11" customFormat="false" ht="26.85" hidden="false" customHeight="false" outlineLevel="0" collapsed="false">
      <c r="A11" s="14" t="s">
        <v>314</v>
      </c>
      <c r="B11" s="15"/>
      <c r="C11" s="15"/>
      <c r="D11" s="15"/>
      <c r="E11" s="15"/>
      <c r="F11" s="15"/>
      <c r="G11" s="15"/>
    </row>
    <row r="12" customFormat="false" ht="15" hidden="false" customHeight="false" outlineLevel="0" collapsed="false">
      <c r="A12" s="16" t="s">
        <v>307</v>
      </c>
      <c r="B12" s="16" t="s">
        <v>54</v>
      </c>
      <c r="C12" s="16" t="s">
        <v>55</v>
      </c>
      <c r="D12" s="16" t="s">
        <v>56</v>
      </c>
      <c r="E12" s="16" t="s">
        <v>57</v>
      </c>
      <c r="F12" s="16" t="s">
        <v>58</v>
      </c>
      <c r="G12" s="16" t="s">
        <v>230</v>
      </c>
    </row>
    <row r="13" customFormat="false" ht="15" hidden="false" customHeight="false" outlineLevel="0" collapsed="false">
      <c r="A13" s="27" t="s">
        <v>309</v>
      </c>
      <c r="B13" s="35" t="n">
        <v>0.515</v>
      </c>
      <c r="C13" s="35" t="n">
        <v>0.52</v>
      </c>
      <c r="D13" s="35" t="n">
        <v>0.49</v>
      </c>
      <c r="E13" s="35" t="n">
        <v>0.507280413339596</v>
      </c>
      <c r="F13" s="35" t="n">
        <v>0.489754921655283</v>
      </c>
      <c r="G13" s="42" t="n">
        <v>-0.0252450783447167</v>
      </c>
    </row>
    <row r="14" customFormat="false" ht="15" hidden="false" customHeight="false" outlineLevel="0" collapsed="false">
      <c r="A14" s="20" t="s">
        <v>310</v>
      </c>
      <c r="B14" s="21" t="n">
        <v>0.32</v>
      </c>
      <c r="C14" s="21" t="n">
        <v>0.32</v>
      </c>
      <c r="D14" s="21" t="n">
        <v>0.33</v>
      </c>
      <c r="E14" s="21" t="n">
        <v>0.311648661343354</v>
      </c>
      <c r="F14" s="21" t="n">
        <v>0.342205705102451</v>
      </c>
      <c r="G14" s="41" t="n">
        <v>0.0222057051024507</v>
      </c>
    </row>
    <row r="15" customFormat="false" ht="15" hidden="false" customHeight="false" outlineLevel="0" collapsed="false">
      <c r="A15" s="27" t="s">
        <v>311</v>
      </c>
      <c r="B15" s="35" t="n">
        <v>0.055</v>
      </c>
      <c r="C15" s="35" t="n">
        <v>0.06</v>
      </c>
      <c r="D15" s="35" t="n">
        <v>0.06</v>
      </c>
      <c r="E15" s="35" t="n">
        <v>0.0591827148896195</v>
      </c>
      <c r="F15" s="35" t="n">
        <v>0.0501205303334673</v>
      </c>
      <c r="G15" s="42" t="n">
        <v>-0.00487946966653274</v>
      </c>
    </row>
    <row r="16" customFormat="false" ht="15" hidden="false" customHeight="false" outlineLevel="0" collapsed="false">
      <c r="A16" s="20" t="s">
        <v>315</v>
      </c>
      <c r="B16" s="21" t="n">
        <v>0.11</v>
      </c>
      <c r="C16" s="21" t="n">
        <v>0.1</v>
      </c>
      <c r="D16" s="21" t="n">
        <v>0.13</v>
      </c>
      <c r="E16" s="21" t="n">
        <v>0.130812588069516</v>
      </c>
      <c r="F16" s="21" t="n">
        <v>0.117918842908799</v>
      </c>
      <c r="G16" s="41" t="n">
        <v>0.00791884290879873</v>
      </c>
    </row>
    <row r="18" customFormat="false" ht="26.85" hidden="false" customHeight="false" outlineLevel="0" collapsed="false">
      <c r="A18" s="14" t="s">
        <v>316</v>
      </c>
      <c r="B18" s="15"/>
      <c r="C18" s="15"/>
      <c r="D18" s="15"/>
      <c r="E18" s="15"/>
      <c r="F18" s="15"/>
      <c r="G18" s="15"/>
    </row>
    <row r="19" customFormat="false" ht="15" hidden="false" customHeight="false" outlineLevel="0" collapsed="false">
      <c r="A19" s="16" t="s">
        <v>307</v>
      </c>
      <c r="B19" s="16" t="s">
        <v>317</v>
      </c>
      <c r="C19" s="16" t="s">
        <v>318</v>
      </c>
      <c r="D19" s="16" t="s">
        <v>319</v>
      </c>
      <c r="E19" s="16" t="s">
        <v>320</v>
      </c>
      <c r="F19" s="16" t="s">
        <v>321</v>
      </c>
      <c r="G19" s="16" t="s">
        <v>322</v>
      </c>
    </row>
    <row r="20" customFormat="false" ht="15" hidden="false" customHeight="false" outlineLevel="0" collapsed="false">
      <c r="A20" s="27" t="s">
        <v>309</v>
      </c>
      <c r="B20" s="34" t="n">
        <v>432</v>
      </c>
      <c r="C20" s="34" t="n">
        <v>119.8</v>
      </c>
      <c r="D20" s="35" t="n">
        <v>0.277314814814815</v>
      </c>
      <c r="E20" s="34" t="n">
        <v>487.6</v>
      </c>
      <c r="F20" s="34" t="n">
        <v>144.8</v>
      </c>
      <c r="G20" s="35" t="n">
        <v>0.296964725184578</v>
      </c>
    </row>
    <row r="21" customFormat="false" ht="15" hidden="false" customHeight="false" outlineLevel="0" collapsed="false">
      <c r="A21" s="20" t="s">
        <v>310</v>
      </c>
      <c r="B21" s="33" t="n">
        <v>265.4</v>
      </c>
      <c r="C21" s="33" t="n">
        <v>93.1</v>
      </c>
      <c r="D21" s="21" t="n">
        <v>0.350791258477769</v>
      </c>
      <c r="E21" s="33" t="n">
        <v>340.7</v>
      </c>
      <c r="F21" s="33" t="n">
        <v>108.3</v>
      </c>
      <c r="G21" s="21" t="n">
        <v>0.317874963310831</v>
      </c>
    </row>
    <row r="22" customFormat="false" ht="15" hidden="false" customHeight="false" outlineLevel="0" collapsed="false">
      <c r="A22" s="27" t="s">
        <v>311</v>
      </c>
      <c r="B22" s="34" t="n">
        <v>50.4</v>
      </c>
      <c r="C22" s="34" t="n">
        <v>1.8</v>
      </c>
      <c r="D22" s="35" t="n">
        <v>0.0357142857142857</v>
      </c>
      <c r="E22" s="34" t="n">
        <v>49.9</v>
      </c>
      <c r="F22" s="34" t="n">
        <v>5.1</v>
      </c>
      <c r="G22" s="35" t="n">
        <v>0.102204408817635</v>
      </c>
    </row>
    <row r="23" customFormat="false" ht="15" hidden="false" customHeight="false" outlineLevel="0" collapsed="false">
      <c r="A23" s="20" t="s">
        <v>312</v>
      </c>
      <c r="B23" s="33" t="n">
        <v>111.4</v>
      </c>
      <c r="C23" s="33" t="n">
        <v>43.1</v>
      </c>
      <c r="D23" s="21" t="n">
        <v>0.38689407540395</v>
      </c>
      <c r="E23" s="33" t="n">
        <v>117.4</v>
      </c>
      <c r="F23" s="33" t="n">
        <v>42.9</v>
      </c>
      <c r="G23" s="21" t="n">
        <v>0.36541737649063</v>
      </c>
    </row>
    <row r="24" customFormat="false" ht="15" hidden="false" customHeight="false" outlineLevel="0" collapsed="false">
      <c r="A24" s="17" t="s">
        <v>323</v>
      </c>
      <c r="B24" s="18" t="n">
        <v>851.6</v>
      </c>
      <c r="C24" s="18" t="n">
        <v>257.7</v>
      </c>
      <c r="D24" s="19" t="n">
        <v>0.302606857679662</v>
      </c>
      <c r="E24" s="18" t="n">
        <v>995.6</v>
      </c>
      <c r="F24" s="18" t="n">
        <v>301</v>
      </c>
      <c r="G24" s="19" t="n">
        <v>0.3023302531137</v>
      </c>
    </row>
    <row r="26" customFormat="false" ht="39.55" hidden="false" customHeight="false" outlineLevel="0" collapsed="false">
      <c r="A26" s="14" t="s">
        <v>324</v>
      </c>
      <c r="B26" s="15"/>
      <c r="C26" s="15"/>
      <c r="D26" s="15"/>
      <c r="E26" s="15"/>
      <c r="F26" s="15"/>
      <c r="G26" s="15"/>
    </row>
    <row r="27" customFormat="false" ht="23.85" hidden="false" customHeight="false" outlineLevel="0" collapsed="false">
      <c r="A27" s="16" t="s">
        <v>307</v>
      </c>
      <c r="B27" s="16" t="s">
        <v>325</v>
      </c>
      <c r="C27" s="16" t="s">
        <v>326</v>
      </c>
      <c r="D27" s="16" t="s">
        <v>327</v>
      </c>
      <c r="E27" s="16" t="s">
        <v>328</v>
      </c>
      <c r="F27" s="16" t="s">
        <v>322</v>
      </c>
      <c r="G27" s="16" t="s">
        <v>276</v>
      </c>
    </row>
    <row r="28" customFormat="false" ht="15" hidden="false" customHeight="false" outlineLevel="0" collapsed="false">
      <c r="A28" s="27" t="s">
        <v>309</v>
      </c>
      <c r="B28" s="35" t="n">
        <v>0.131</v>
      </c>
      <c r="C28" s="35" t="n">
        <v>0.137</v>
      </c>
      <c r="D28" s="28" t="s">
        <v>329</v>
      </c>
      <c r="E28" s="28" t="s">
        <v>330</v>
      </c>
      <c r="F28" s="35" t="n">
        <v>0.296</v>
      </c>
      <c r="G28" s="28" t="s">
        <v>331</v>
      </c>
    </row>
    <row r="29" customFormat="false" ht="15" hidden="false" customHeight="false" outlineLevel="0" collapsed="false">
      <c r="A29" s="20" t="s">
        <v>310</v>
      </c>
      <c r="B29" s="21" t="n">
        <v>0.284</v>
      </c>
      <c r="C29" s="21" t="n">
        <v>0.18</v>
      </c>
      <c r="D29" s="22" t="s">
        <v>332</v>
      </c>
      <c r="E29" s="22" t="s">
        <v>333</v>
      </c>
      <c r="F29" s="21" t="n">
        <v>0.318</v>
      </c>
      <c r="G29" s="22" t="s">
        <v>334</v>
      </c>
    </row>
    <row r="30" customFormat="false" ht="15" hidden="false" customHeight="false" outlineLevel="0" collapsed="false">
      <c r="A30" s="27" t="s">
        <v>311</v>
      </c>
      <c r="B30" s="35" t="n">
        <v>-0.011</v>
      </c>
      <c r="C30" s="35" t="n">
        <v>-0.011</v>
      </c>
      <c r="D30" s="28" t="s">
        <v>335</v>
      </c>
      <c r="E30" s="28" t="s">
        <v>336</v>
      </c>
      <c r="F30" s="35" t="n">
        <v>0.102</v>
      </c>
      <c r="G30" s="28" t="s">
        <v>337</v>
      </c>
    </row>
    <row r="31" customFormat="false" ht="15" hidden="false" customHeight="false" outlineLevel="0" collapsed="false">
      <c r="A31" s="20" t="s">
        <v>315</v>
      </c>
      <c r="B31" s="21" t="n">
        <v>0.078</v>
      </c>
      <c r="C31" s="21" t="n">
        <v>-0.001</v>
      </c>
      <c r="D31" s="22" t="s">
        <v>338</v>
      </c>
      <c r="E31" s="22" t="s">
        <v>339</v>
      </c>
      <c r="F31" s="21" t="n">
        <v>0.357</v>
      </c>
      <c r="G31" s="22" t="s">
        <v>340</v>
      </c>
    </row>
    <row r="34" customFormat="false" ht="26.85" hidden="false" customHeight="false" outlineLevel="0" collapsed="false">
      <c r="A34" s="14" t="s">
        <v>341</v>
      </c>
      <c r="B34" s="15"/>
      <c r="C34" s="15"/>
      <c r="D34" s="15"/>
      <c r="E34" s="15"/>
      <c r="F34" s="15"/>
      <c r="G34" s="15"/>
    </row>
    <row r="35" customFormat="false" ht="15" hidden="false" customHeight="false" outlineLevel="0" collapsed="false">
      <c r="A35" s="16" t="s">
        <v>342</v>
      </c>
      <c r="B35" s="16" t="s">
        <v>343</v>
      </c>
      <c r="C35" s="16" t="s">
        <v>344</v>
      </c>
      <c r="D35" s="16" t="s">
        <v>259</v>
      </c>
      <c r="E35" s="16" t="s">
        <v>345</v>
      </c>
      <c r="F35" s="16" t="s">
        <v>346</v>
      </c>
      <c r="G35" s="16" t="s">
        <v>276</v>
      </c>
    </row>
    <row r="36" customFormat="false" ht="15" hidden="false" customHeight="false" outlineLevel="0" collapsed="false">
      <c r="A36" s="27" t="s">
        <v>347</v>
      </c>
      <c r="B36" s="34" t="n">
        <v>360.9</v>
      </c>
      <c r="C36" s="35" t="n">
        <v>0.423790511977454</v>
      </c>
      <c r="D36" s="34" t="n">
        <v>406.1</v>
      </c>
      <c r="E36" s="35" t="n">
        <v>0.407894736842105</v>
      </c>
      <c r="F36" s="35" t="n">
        <v>0.125242449431976</v>
      </c>
      <c r="G36" s="28" t="s">
        <v>348</v>
      </c>
    </row>
    <row r="37" customFormat="false" ht="15" hidden="false" customHeight="false" outlineLevel="0" collapsed="false">
      <c r="A37" s="20" t="s">
        <v>349</v>
      </c>
      <c r="B37" s="33" t="n">
        <v>208</v>
      </c>
      <c r="C37" s="21" t="n">
        <v>0.244246124941287</v>
      </c>
      <c r="D37" s="33" t="n">
        <v>259.8</v>
      </c>
      <c r="E37" s="21" t="n">
        <v>0.260948171956609</v>
      </c>
      <c r="F37" s="21" t="n">
        <v>0.249038461538462</v>
      </c>
      <c r="G37" s="22" t="s">
        <v>350</v>
      </c>
    </row>
    <row r="38" customFormat="false" ht="15" hidden="false" customHeight="false" outlineLevel="0" collapsed="false">
      <c r="A38" s="27" t="s">
        <v>351</v>
      </c>
      <c r="B38" s="34" t="n">
        <v>58.2</v>
      </c>
      <c r="C38" s="35" t="n">
        <v>0.0683419445749178</v>
      </c>
      <c r="D38" s="34" t="n">
        <v>66.8</v>
      </c>
      <c r="E38" s="35" t="n">
        <v>0.0670952189634391</v>
      </c>
      <c r="F38" s="35" t="n">
        <v>0.147766323024055</v>
      </c>
      <c r="G38" s="28" t="s">
        <v>352</v>
      </c>
    </row>
    <row r="39" customFormat="false" ht="15" hidden="false" customHeight="false" outlineLevel="0" collapsed="false">
      <c r="A39" s="20" t="s">
        <v>353</v>
      </c>
      <c r="B39" s="33" t="n">
        <v>33.9</v>
      </c>
      <c r="C39" s="21" t="n">
        <v>0.0398074213245655</v>
      </c>
      <c r="D39" s="33" t="n">
        <v>40.5</v>
      </c>
      <c r="E39" s="21" t="n">
        <v>0.0406789875451989</v>
      </c>
      <c r="F39" s="21" t="n">
        <v>0.194690265486726</v>
      </c>
      <c r="G39" s="22"/>
    </row>
    <row r="40" customFormat="false" ht="15" hidden="false" customHeight="false" outlineLevel="0" collapsed="false">
      <c r="A40" s="17" t="s">
        <v>354</v>
      </c>
      <c r="B40" s="18" t="n">
        <v>661</v>
      </c>
      <c r="C40" s="19" t="n">
        <v>0.776186002818225</v>
      </c>
      <c r="D40" s="18" t="n">
        <v>773.1</v>
      </c>
      <c r="E40" s="19" t="n">
        <v>0.776516673362796</v>
      </c>
      <c r="F40" s="19" t="n">
        <v>0.169591527987897</v>
      </c>
      <c r="G40" s="32"/>
    </row>
    <row r="45" customFormat="false" ht="15" hidden="false" customHeight="false" outlineLevel="0" collapsed="false">
      <c r="A45" s="0" t="s">
        <v>307</v>
      </c>
      <c r="B45" s="0" t="s">
        <v>259</v>
      </c>
      <c r="D45" s="0" t="s">
        <v>307</v>
      </c>
      <c r="E45" s="0" t="s">
        <v>355</v>
      </c>
      <c r="F45" s="0" t="s">
        <v>236</v>
      </c>
    </row>
    <row r="46" customFormat="false" ht="15" hidden="false" customHeight="false" outlineLevel="0" collapsed="false">
      <c r="A46" s="0" t="s">
        <v>309</v>
      </c>
      <c r="B46" s="0" t="n">
        <v>487.6</v>
      </c>
      <c r="D46" s="0" t="s">
        <v>309</v>
      </c>
      <c r="E46" s="0" t="n">
        <v>0.277</v>
      </c>
      <c r="F46" s="0" t="n">
        <v>0.297</v>
      </c>
    </row>
    <row r="47" customFormat="false" ht="15" hidden="false" customHeight="false" outlineLevel="0" collapsed="false">
      <c r="A47" s="0" t="s">
        <v>310</v>
      </c>
      <c r="B47" s="0" t="n">
        <v>340.7</v>
      </c>
      <c r="D47" s="0" t="s">
        <v>310</v>
      </c>
      <c r="E47" s="0" t="n">
        <v>0.351</v>
      </c>
      <c r="F47" s="0" t="n">
        <v>0.318</v>
      </c>
    </row>
    <row r="48" customFormat="false" ht="15" hidden="false" customHeight="false" outlineLevel="0" collapsed="false">
      <c r="A48" s="0" t="s">
        <v>311</v>
      </c>
      <c r="B48" s="0" t="n">
        <v>49.9</v>
      </c>
      <c r="D48" s="0" t="s">
        <v>311</v>
      </c>
      <c r="E48" s="0" t="n">
        <v>0.036</v>
      </c>
      <c r="F48" s="0" t="n">
        <v>0.102</v>
      </c>
    </row>
    <row r="49" customFormat="false" ht="15" hidden="false" customHeight="false" outlineLevel="0" collapsed="false">
      <c r="A49" s="0" t="s">
        <v>315</v>
      </c>
      <c r="B49" s="0" t="n">
        <v>117.4</v>
      </c>
      <c r="D49" s="0" t="s">
        <v>315</v>
      </c>
      <c r="E49" s="0" t="n">
        <v>0.387</v>
      </c>
      <c r="F49" s="0" t="n">
        <v>0.365</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59B6"/>
    <pageSetUpPr fitToPage="false"/>
  </sheetPr>
  <dimension ref="A1:G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5"/>
    <col collapsed="false" customWidth="true" hidden="false" outlineLevel="0" max="7" min="2" style="0" width="14"/>
  </cols>
  <sheetData>
    <row r="1" customFormat="false" ht="19.7" hidden="false" customHeight="false" outlineLevel="0" collapsed="false">
      <c r="A1" s="31" t="s">
        <v>356</v>
      </c>
      <c r="B1" s="31"/>
      <c r="C1" s="31"/>
      <c r="D1" s="31"/>
      <c r="E1" s="31"/>
      <c r="F1" s="31"/>
      <c r="G1" s="31"/>
    </row>
    <row r="3" customFormat="false" ht="26.85" hidden="false" customHeight="false" outlineLevel="0" collapsed="false">
      <c r="A3" s="14" t="s">
        <v>357</v>
      </c>
      <c r="B3" s="15"/>
      <c r="C3" s="15"/>
      <c r="D3" s="15"/>
      <c r="E3" s="15"/>
      <c r="F3" s="15"/>
      <c r="G3" s="15"/>
    </row>
    <row r="4" customFormat="false" ht="15" hidden="false" customHeight="false" outlineLevel="0" collapsed="false">
      <c r="A4" s="16" t="s">
        <v>53</v>
      </c>
      <c r="B4" s="16" t="s">
        <v>54</v>
      </c>
      <c r="C4" s="16" t="s">
        <v>55</v>
      </c>
      <c r="D4" s="16" t="s">
        <v>56</v>
      </c>
      <c r="E4" s="16" t="s">
        <v>57</v>
      </c>
      <c r="F4" s="16" t="s">
        <v>58</v>
      </c>
      <c r="G4" s="16" t="s">
        <v>74</v>
      </c>
    </row>
    <row r="5" customFormat="false" ht="15" hidden="false" customHeight="false" outlineLevel="0" collapsed="false">
      <c r="A5" s="27" t="s">
        <v>68</v>
      </c>
      <c r="B5" s="34" t="n">
        <v>96.9</v>
      </c>
      <c r="C5" s="34" t="n">
        <v>134.6</v>
      </c>
      <c r="D5" s="34" t="n">
        <v>161.9</v>
      </c>
      <c r="E5" s="34" t="n">
        <v>163.9</v>
      </c>
      <c r="F5" s="34" t="n">
        <v>178.8</v>
      </c>
      <c r="G5" s="28"/>
    </row>
    <row r="6" customFormat="false" ht="15" hidden="false" customHeight="false" outlineLevel="0" collapsed="false">
      <c r="A6" s="20" t="s">
        <v>69</v>
      </c>
      <c r="B6" s="33" t="n">
        <v>157.5</v>
      </c>
      <c r="C6" s="33" t="n">
        <v>214.4</v>
      </c>
      <c r="D6" s="33" t="n">
        <v>213.8</v>
      </c>
      <c r="E6" s="33" t="n">
        <v>252.9</v>
      </c>
      <c r="F6" s="33" t="n">
        <v>306.8</v>
      </c>
      <c r="G6" s="22"/>
    </row>
    <row r="7" customFormat="false" ht="15" hidden="false" customHeight="false" outlineLevel="0" collapsed="false">
      <c r="A7" s="27" t="s">
        <v>138</v>
      </c>
      <c r="B7" s="35" t="n">
        <v>1.62538699690403</v>
      </c>
      <c r="C7" s="35" t="n">
        <v>1.59286775631501</v>
      </c>
      <c r="D7" s="35" t="n">
        <v>1.32056825200741</v>
      </c>
      <c r="E7" s="35" t="n">
        <v>1.54301403294692</v>
      </c>
      <c r="F7" s="35" t="n">
        <v>1.7158836689038</v>
      </c>
      <c r="G7" s="28" t="s">
        <v>358</v>
      </c>
    </row>
    <row r="8" customFormat="false" ht="15" hidden="false" customHeight="false" outlineLevel="0" collapsed="false">
      <c r="A8" s="20"/>
      <c r="B8" s="33"/>
      <c r="C8" s="33"/>
      <c r="D8" s="33"/>
      <c r="E8" s="33"/>
      <c r="F8" s="33"/>
      <c r="G8" s="22"/>
    </row>
    <row r="9" customFormat="false" ht="15" hidden="false" customHeight="false" outlineLevel="0" collapsed="false">
      <c r="A9" s="27" t="s">
        <v>359</v>
      </c>
      <c r="B9" s="34" t="n">
        <v>46.5</v>
      </c>
      <c r="C9" s="34" t="n">
        <v>66.7</v>
      </c>
      <c r="D9" s="34" t="n">
        <v>161.4</v>
      </c>
      <c r="E9" s="34" t="n">
        <v>215</v>
      </c>
      <c r="F9" s="34" t="n">
        <v>-400.3</v>
      </c>
      <c r="G9" s="28" t="s">
        <v>360</v>
      </c>
    </row>
    <row r="10" customFormat="false" ht="15" hidden="false" customHeight="false" outlineLevel="0" collapsed="false">
      <c r="A10" s="20" t="s">
        <v>70</v>
      </c>
      <c r="B10" s="33" t="n">
        <v>148.2</v>
      </c>
      <c r="C10" s="33" t="n">
        <v>193.8</v>
      </c>
      <c r="D10" s="33" t="n">
        <v>182.4</v>
      </c>
      <c r="E10" s="33" t="n">
        <v>240.6</v>
      </c>
      <c r="F10" s="33" t="n">
        <v>293.5</v>
      </c>
      <c r="G10" s="22" t="s">
        <v>361</v>
      </c>
    </row>
    <row r="11" customFormat="false" ht="15" hidden="false" customHeight="false" outlineLevel="0" collapsed="false">
      <c r="A11" s="27" t="s">
        <v>362</v>
      </c>
      <c r="B11" s="35" t="n">
        <v>1.52941176470588</v>
      </c>
      <c r="C11" s="35" t="n">
        <v>1.43982169390788</v>
      </c>
      <c r="D11" s="35" t="n">
        <v>1.1266213712168</v>
      </c>
      <c r="E11" s="35" t="n">
        <v>1.4679682733374</v>
      </c>
      <c r="F11" s="35" t="n">
        <v>1.64149888143177</v>
      </c>
      <c r="G11" s="28" t="s">
        <v>363</v>
      </c>
    </row>
    <row r="12" customFormat="false" ht="15" hidden="false" customHeight="false" outlineLevel="0" collapsed="false">
      <c r="A12" s="20"/>
      <c r="B12" s="33"/>
      <c r="C12" s="33"/>
      <c r="D12" s="33"/>
      <c r="E12" s="33"/>
      <c r="F12" s="33"/>
      <c r="G12" s="22"/>
    </row>
    <row r="13" customFormat="false" ht="15" hidden="false" customHeight="false" outlineLevel="0" collapsed="false">
      <c r="A13" s="27" t="s">
        <v>364</v>
      </c>
      <c r="B13" s="34"/>
      <c r="C13" s="34"/>
      <c r="D13" s="34" t="n">
        <v>-12.7</v>
      </c>
      <c r="E13" s="34" t="n">
        <v>-12.7</v>
      </c>
      <c r="F13" s="34" t="n">
        <v>-13.7</v>
      </c>
      <c r="G13" s="28" t="s">
        <v>365</v>
      </c>
    </row>
    <row r="14" customFormat="false" ht="15" hidden="false" customHeight="false" outlineLevel="0" collapsed="false">
      <c r="A14" s="20" t="s">
        <v>366</v>
      </c>
      <c r="B14" s="21"/>
      <c r="C14" s="21"/>
      <c r="D14" s="21" t="n">
        <v>0.0158393614367673</v>
      </c>
      <c r="E14" s="21" t="n">
        <v>0.0149131047440113</v>
      </c>
      <c r="F14" s="21" t="n">
        <v>0.0137605464041784</v>
      </c>
      <c r="G14" s="22" t="s">
        <v>367</v>
      </c>
    </row>
    <row r="17" customFormat="false" ht="15" hidden="false" customHeight="false" outlineLevel="0" collapsed="false">
      <c r="A17" s="14" t="s">
        <v>368</v>
      </c>
      <c r="B17" s="15"/>
      <c r="C17" s="15"/>
      <c r="D17" s="15"/>
      <c r="E17" s="15"/>
      <c r="F17" s="15"/>
      <c r="G17" s="15"/>
    </row>
    <row r="18" customFormat="false" ht="15" hidden="false" customHeight="false" outlineLevel="0" collapsed="false">
      <c r="A18" s="16" t="s">
        <v>53</v>
      </c>
      <c r="B18" s="16" t="s">
        <v>54</v>
      </c>
      <c r="C18" s="16" t="s">
        <v>55</v>
      </c>
      <c r="D18" s="16" t="s">
        <v>56</v>
      </c>
      <c r="E18" s="16" t="s">
        <v>57</v>
      </c>
      <c r="F18" s="16" t="s">
        <v>58</v>
      </c>
      <c r="G18" s="16" t="s">
        <v>74</v>
      </c>
    </row>
    <row r="19" customFormat="false" ht="15" hidden="false" customHeight="false" outlineLevel="0" collapsed="false">
      <c r="A19" s="27" t="s">
        <v>369</v>
      </c>
      <c r="B19" s="34"/>
      <c r="C19" s="34"/>
      <c r="D19" s="34"/>
      <c r="E19" s="34" t="n">
        <v>99.6</v>
      </c>
      <c r="F19" s="34" t="n">
        <v>147.4</v>
      </c>
      <c r="G19" s="28"/>
    </row>
    <row r="20" customFormat="false" ht="15" hidden="false" customHeight="false" outlineLevel="0" collapsed="false">
      <c r="A20" s="20" t="s">
        <v>60</v>
      </c>
      <c r="B20" s="33" t="n">
        <v>596.9</v>
      </c>
      <c r="C20" s="33" t="n">
        <v>681.5</v>
      </c>
      <c r="D20" s="33" t="n">
        <v>801.8</v>
      </c>
      <c r="E20" s="33" t="n">
        <v>851.6</v>
      </c>
      <c r="F20" s="33" t="n">
        <v>995.6</v>
      </c>
      <c r="G20" s="22"/>
    </row>
    <row r="21" customFormat="false" ht="15" hidden="false" customHeight="false" outlineLevel="0" collapsed="false">
      <c r="A21" s="27" t="s">
        <v>191</v>
      </c>
      <c r="B21" s="38"/>
      <c r="C21" s="38"/>
      <c r="D21" s="38"/>
      <c r="E21" s="38" t="n">
        <v>42.6890558947863</v>
      </c>
      <c r="F21" s="38" t="n">
        <v>54.0387705905986</v>
      </c>
      <c r="G21" s="28" t="s">
        <v>370</v>
      </c>
    </row>
    <row r="22" customFormat="false" ht="15" hidden="false" customHeight="false" outlineLevel="0" collapsed="false">
      <c r="A22" s="20" t="s">
        <v>371</v>
      </c>
      <c r="B22" s="21"/>
      <c r="C22" s="21"/>
      <c r="D22" s="21"/>
      <c r="E22" s="21"/>
      <c r="F22" s="21" t="n">
        <v>0.47991967871486</v>
      </c>
      <c r="G22" s="22" t="s">
        <v>372</v>
      </c>
    </row>
    <row r="23" customFormat="false" ht="15" hidden="false" customHeight="false" outlineLevel="0" collapsed="false">
      <c r="A23" s="27"/>
      <c r="B23" s="34"/>
      <c r="C23" s="34"/>
      <c r="D23" s="34"/>
      <c r="E23" s="34"/>
      <c r="F23" s="34"/>
      <c r="G23" s="28"/>
    </row>
    <row r="24" customFormat="false" ht="15" hidden="false" customHeight="false" outlineLevel="0" collapsed="false">
      <c r="A24" s="20" t="s">
        <v>373</v>
      </c>
      <c r="B24" s="33"/>
      <c r="C24" s="33"/>
      <c r="D24" s="33"/>
      <c r="E24" s="33" t="n">
        <v>271.2</v>
      </c>
      <c r="F24" s="33" t="n">
        <v>385.8</v>
      </c>
      <c r="G24" s="22" t="s">
        <v>374</v>
      </c>
    </row>
    <row r="25" customFormat="false" ht="15" hidden="false" customHeight="false" outlineLevel="0" collapsed="false">
      <c r="A25" s="27" t="s">
        <v>375</v>
      </c>
      <c r="B25" s="35"/>
      <c r="C25" s="35"/>
      <c r="D25" s="35"/>
      <c r="E25" s="35" t="n">
        <v>0.318459370596524</v>
      </c>
      <c r="F25" s="35" t="n">
        <v>0.387505022097228</v>
      </c>
      <c r="G25" s="28" t="s">
        <v>376</v>
      </c>
    </row>
    <row r="26" customFormat="false" ht="15" hidden="false" customHeight="false" outlineLevel="0" collapsed="false">
      <c r="A26" s="20" t="s">
        <v>377</v>
      </c>
      <c r="B26" s="21"/>
      <c r="C26" s="21"/>
      <c r="D26" s="21"/>
      <c r="E26" s="21"/>
      <c r="F26" s="21" t="n">
        <v>0.422566371681416</v>
      </c>
      <c r="G26" s="22" t="s">
        <v>378</v>
      </c>
    </row>
    <row r="28" customFormat="false" ht="15" hidden="false" customHeight="false" outlineLevel="0" collapsed="false">
      <c r="A28" s="14" t="s">
        <v>379</v>
      </c>
      <c r="B28" s="15"/>
      <c r="C28" s="15"/>
      <c r="D28" s="15"/>
      <c r="E28" s="15"/>
      <c r="F28" s="15"/>
      <c r="G28" s="15"/>
    </row>
    <row r="29" customFormat="false" ht="15" hidden="false" customHeight="false" outlineLevel="0" collapsed="false">
      <c r="A29" s="16" t="s">
        <v>53</v>
      </c>
      <c r="B29" s="16" t="s">
        <v>54</v>
      </c>
      <c r="C29" s="16" t="s">
        <v>55</v>
      </c>
      <c r="D29" s="16" t="s">
        <v>56</v>
      </c>
      <c r="E29" s="16" t="s">
        <v>57</v>
      </c>
      <c r="F29" s="16" t="s">
        <v>58</v>
      </c>
      <c r="G29" s="16" t="s">
        <v>74</v>
      </c>
    </row>
    <row r="30" customFormat="false" ht="15" hidden="false" customHeight="false" outlineLevel="0" collapsed="false">
      <c r="A30" s="27" t="s">
        <v>380</v>
      </c>
      <c r="B30" s="34"/>
      <c r="C30" s="34"/>
      <c r="D30" s="34"/>
      <c r="E30" s="34" t="n">
        <v>268</v>
      </c>
      <c r="F30" s="34" t="n">
        <v>205.7</v>
      </c>
      <c r="G30" s="28"/>
    </row>
    <row r="31" customFormat="false" ht="15" hidden="false" customHeight="false" outlineLevel="0" collapsed="false">
      <c r="A31" s="20" t="s">
        <v>381</v>
      </c>
      <c r="B31" s="33"/>
      <c r="C31" s="33"/>
      <c r="D31" s="33"/>
      <c r="E31" s="33" t="n">
        <v>0.071</v>
      </c>
      <c r="F31" s="33" t="n">
        <v>500.3</v>
      </c>
      <c r="G31" s="22" t="s">
        <v>382</v>
      </c>
    </row>
    <row r="32" customFormat="false" ht="15" hidden="false" customHeight="false" outlineLevel="0" collapsed="false">
      <c r="A32" s="27" t="s">
        <v>383</v>
      </c>
      <c r="B32" s="34"/>
      <c r="C32" s="34"/>
      <c r="D32" s="34"/>
      <c r="E32" s="34" t="n">
        <v>267.929</v>
      </c>
      <c r="F32" s="34" t="n">
        <v>-294.6</v>
      </c>
      <c r="G32" s="28" t="s">
        <v>384</v>
      </c>
    </row>
    <row r="33" customFormat="false" ht="15" hidden="false" customHeight="false" outlineLevel="0" collapsed="false">
      <c r="A33" s="20"/>
      <c r="B33" s="33"/>
      <c r="C33" s="33"/>
      <c r="D33" s="33"/>
      <c r="E33" s="33"/>
      <c r="F33" s="33"/>
      <c r="G33" s="22"/>
    </row>
    <row r="34" customFormat="false" ht="15" hidden="false" customHeight="false" outlineLevel="0" collapsed="false">
      <c r="A34" s="27" t="s">
        <v>385</v>
      </c>
      <c r="B34" s="34"/>
      <c r="C34" s="34"/>
      <c r="D34" s="34"/>
      <c r="E34" s="34" t="n">
        <v>552</v>
      </c>
      <c r="F34" s="34" t="n">
        <v>1135.2</v>
      </c>
      <c r="G34" s="28" t="s">
        <v>386</v>
      </c>
    </row>
    <row r="35" customFormat="false" ht="15" hidden="false" customHeight="false" outlineLevel="0" collapsed="false">
      <c r="A35" s="20" t="s">
        <v>387</v>
      </c>
      <c r="B35" s="33"/>
      <c r="C35" s="33"/>
      <c r="D35" s="33"/>
      <c r="E35" s="33" t="n">
        <v>1274.3</v>
      </c>
      <c r="F35" s="33" t="n">
        <v>2136.3</v>
      </c>
      <c r="G35" s="22"/>
    </row>
    <row r="36" customFormat="false" ht="15" hidden="false" customHeight="false" outlineLevel="0" collapsed="false">
      <c r="A36" s="27" t="s">
        <v>388</v>
      </c>
      <c r="B36" s="35"/>
      <c r="C36" s="35"/>
      <c r="D36" s="35"/>
      <c r="E36" s="35" t="n">
        <v>0.433179000235423</v>
      </c>
      <c r="F36" s="35" t="n">
        <v>0.531386041286336</v>
      </c>
      <c r="G36" s="28" t="s">
        <v>389</v>
      </c>
    </row>
    <row r="37" customFormat="false" ht="15" hidden="false" customHeight="false" outlineLevel="0" collapsed="false">
      <c r="A37" s="20"/>
      <c r="B37" s="33"/>
      <c r="C37" s="33"/>
      <c r="D37" s="33"/>
      <c r="E37" s="33"/>
      <c r="F37" s="33"/>
      <c r="G37" s="22"/>
    </row>
    <row r="38" customFormat="false" ht="15" hidden="false" customHeight="false" outlineLevel="0" collapsed="false">
      <c r="A38" s="27" t="s">
        <v>390</v>
      </c>
      <c r="B38" s="34"/>
      <c r="C38" s="34"/>
      <c r="D38" s="34"/>
      <c r="E38" s="34" t="n">
        <v>781.9</v>
      </c>
      <c r="F38" s="34" t="n">
        <v>944.4</v>
      </c>
      <c r="G38" s="28"/>
    </row>
    <row r="39" customFormat="false" ht="15" hidden="false" customHeight="false" outlineLevel="0" collapsed="false">
      <c r="A39" s="20" t="s">
        <v>185</v>
      </c>
      <c r="B39" s="21"/>
      <c r="C39" s="21"/>
      <c r="D39" s="21"/>
      <c r="E39" s="21" t="n">
        <v>0.614</v>
      </c>
      <c r="F39" s="21" t="n">
        <v>0.442</v>
      </c>
      <c r="G39" s="22" t="s">
        <v>391</v>
      </c>
    </row>
    <row r="40" customFormat="false" ht="15" hidden="false" customHeight="false" outlineLevel="0" collapsed="false">
      <c r="A40" s="27" t="s">
        <v>392</v>
      </c>
      <c r="B40" s="35"/>
      <c r="C40" s="35"/>
      <c r="D40" s="35"/>
      <c r="E40" s="35" t="n">
        <v>9.08044506970201E-005</v>
      </c>
      <c r="F40" s="35" t="n">
        <v>0.529754341380771</v>
      </c>
      <c r="G40" s="28" t="s">
        <v>393</v>
      </c>
    </row>
    <row r="41" customFormat="false" ht="15" hidden="false" customHeight="false" outlineLevel="0" collapsed="false">
      <c r="A41" s="20"/>
      <c r="B41" s="33"/>
      <c r="C41" s="33"/>
      <c r="D41" s="33"/>
      <c r="E41" s="33"/>
      <c r="F41" s="33"/>
      <c r="G41" s="22"/>
    </row>
    <row r="42" customFormat="false" ht="15" hidden="false" customHeight="false" outlineLevel="0" collapsed="false">
      <c r="A42" s="27" t="s">
        <v>193</v>
      </c>
      <c r="B42" s="43"/>
      <c r="C42" s="43"/>
      <c r="D42" s="43"/>
      <c r="E42" s="43" t="n">
        <v>3415</v>
      </c>
      <c r="F42" s="43" t="n">
        <v>3671</v>
      </c>
      <c r="G42" s="28"/>
    </row>
    <row r="43" customFormat="false" ht="15" hidden="false" customHeight="false" outlineLevel="0" collapsed="false">
      <c r="A43" s="20" t="s">
        <v>394</v>
      </c>
      <c r="B43" s="39"/>
      <c r="C43" s="39"/>
      <c r="D43" s="39"/>
      <c r="E43" s="39" t="n">
        <v>3429</v>
      </c>
      <c r="F43" s="39" t="n">
        <v>3894</v>
      </c>
      <c r="G43" s="22" t="s">
        <v>395</v>
      </c>
    </row>
    <row r="44" customFormat="false" ht="15" hidden="false" customHeight="false" outlineLevel="0" collapsed="false">
      <c r="A44" s="27" t="s">
        <v>396</v>
      </c>
      <c r="B44" s="34"/>
      <c r="C44" s="34"/>
      <c r="D44" s="34"/>
      <c r="E44" s="34" t="n">
        <v>249.370424597365</v>
      </c>
      <c r="F44" s="34" t="n">
        <v>271.206755652411</v>
      </c>
      <c r="G44" s="28" t="s">
        <v>397</v>
      </c>
    </row>
    <row r="46" customFormat="false" ht="26.85" hidden="false" customHeight="false" outlineLevel="0" collapsed="false">
      <c r="A46" s="14" t="s">
        <v>398</v>
      </c>
      <c r="B46" s="15"/>
      <c r="C46" s="15"/>
      <c r="D46" s="15"/>
      <c r="E46" s="15"/>
      <c r="F46" s="15"/>
      <c r="G46" s="15"/>
    </row>
    <row r="47" customFormat="false" ht="15" hidden="false" customHeight="false" outlineLevel="0" collapsed="false">
      <c r="A47" s="16" t="s">
        <v>53</v>
      </c>
      <c r="B47" s="16" t="s">
        <v>54</v>
      </c>
      <c r="C47" s="16" t="s">
        <v>55</v>
      </c>
      <c r="D47" s="16" t="s">
        <v>56</v>
      </c>
      <c r="E47" s="16" t="s">
        <v>57</v>
      </c>
      <c r="F47" s="16" t="s">
        <v>58</v>
      </c>
      <c r="G47" s="16" t="s">
        <v>399</v>
      </c>
    </row>
    <row r="48" customFormat="false" ht="15" hidden="false" customHeight="false" outlineLevel="0" collapsed="false">
      <c r="A48" s="27" t="s">
        <v>400</v>
      </c>
      <c r="B48" s="35"/>
      <c r="C48" s="35"/>
      <c r="D48" s="35"/>
      <c r="E48" s="35" t="n">
        <v>0.960192578675435</v>
      </c>
      <c r="F48" s="35" t="n">
        <v>0.959321012454801</v>
      </c>
      <c r="G48" s="28" t="s">
        <v>401</v>
      </c>
    </row>
    <row r="49" customFormat="false" ht="15" hidden="false" customHeight="false" outlineLevel="0" collapsed="false">
      <c r="A49" s="20" t="s">
        <v>124</v>
      </c>
      <c r="B49" s="21" t="n">
        <v>0.288658066677836</v>
      </c>
      <c r="C49" s="21" t="n">
        <v>0.325752017608217</v>
      </c>
      <c r="D49" s="21" t="n">
        <v>0.320528810177102</v>
      </c>
      <c r="E49" s="21" t="n">
        <v>0.302606857679662</v>
      </c>
      <c r="F49" s="21" t="n">
        <v>0.3023302531137</v>
      </c>
      <c r="G49" s="22" t="s">
        <v>402</v>
      </c>
    </row>
    <row r="50" customFormat="false" ht="15" hidden="false" customHeight="false" outlineLevel="0" collapsed="false">
      <c r="A50" s="27" t="s">
        <v>128</v>
      </c>
      <c r="B50" s="35" t="n">
        <v>0.205227006198693</v>
      </c>
      <c r="C50" s="35" t="n">
        <v>0.252384446074835</v>
      </c>
      <c r="D50" s="35" t="n">
        <v>0.247069094537291</v>
      </c>
      <c r="E50" s="35" t="n">
        <v>0.234264913104744</v>
      </c>
      <c r="F50" s="35" t="n">
        <v>0.235235034150261</v>
      </c>
      <c r="G50" s="28" t="s">
        <v>403</v>
      </c>
    </row>
    <row r="51" customFormat="false" ht="15" hidden="false" customHeight="false" outlineLevel="0" collapsed="false">
      <c r="A51" s="20" t="s">
        <v>130</v>
      </c>
      <c r="B51" s="21" t="n">
        <v>0.162338750209415</v>
      </c>
      <c r="C51" s="21" t="n">
        <v>0.197505502567865</v>
      </c>
      <c r="D51" s="21" t="n">
        <v>0.201920678473435</v>
      </c>
      <c r="E51" s="21" t="n">
        <v>0.19246124941287</v>
      </c>
      <c r="F51" s="21" t="n">
        <v>0.179590196866211</v>
      </c>
      <c r="G51" s="22" t="s">
        <v>404</v>
      </c>
    </row>
    <row r="52" customFormat="false" ht="15" hidden="false" customHeight="false" outlineLevel="0" collapsed="false">
      <c r="A52" s="27" t="s">
        <v>405</v>
      </c>
      <c r="B52" s="35"/>
      <c r="C52" s="35"/>
      <c r="D52" s="35"/>
      <c r="E52" s="35" t="n">
        <v>0.198</v>
      </c>
      <c r="F52" s="35" t="n">
        <v>0.217</v>
      </c>
      <c r="G52" s="28" t="s">
        <v>406</v>
      </c>
    </row>
    <row r="53" customFormat="false" ht="15" hidden="false" customHeight="false" outlineLevel="0" collapsed="false">
      <c r="A53" s="20"/>
      <c r="B53" s="33"/>
      <c r="C53" s="33"/>
      <c r="D53" s="33"/>
      <c r="E53" s="33"/>
      <c r="F53" s="33"/>
      <c r="G53" s="22"/>
    </row>
    <row r="54" customFormat="false" ht="15" hidden="false" customHeight="false" outlineLevel="0" collapsed="false">
      <c r="A54" s="27" t="s">
        <v>407</v>
      </c>
      <c r="B54" s="35"/>
      <c r="C54" s="35"/>
      <c r="D54" s="35"/>
      <c r="E54" s="35"/>
      <c r="F54" s="35" t="n">
        <v>0.311</v>
      </c>
      <c r="G54" s="28" t="s">
        <v>286</v>
      </c>
    </row>
    <row r="55" customFormat="false" ht="15" hidden="false" customHeight="false" outlineLevel="0" collapsed="false">
      <c r="A55" s="20" t="s">
        <v>408</v>
      </c>
      <c r="B55" s="21"/>
      <c r="C55" s="21"/>
      <c r="D55" s="21"/>
      <c r="E55" s="21"/>
      <c r="F55" s="21" t="n">
        <v>0.2</v>
      </c>
      <c r="G55" s="22" t="s">
        <v>409</v>
      </c>
    </row>
    <row r="60" customFormat="false" ht="15" hidden="false" customHeight="false" outlineLevel="0" collapsed="false">
      <c r="A60" s="0" t="s">
        <v>254</v>
      </c>
      <c r="B60" s="0" t="n">
        <v>2020</v>
      </c>
      <c r="C60" s="0" t="n">
        <v>2021</v>
      </c>
      <c r="D60" s="0" t="n">
        <v>2022</v>
      </c>
      <c r="E60" s="0" t="n">
        <v>2023</v>
      </c>
      <c r="F60" s="0" t="n">
        <v>2024</v>
      </c>
    </row>
    <row r="61" customFormat="false" ht="15" hidden="false" customHeight="false" outlineLevel="0" collapsed="false">
      <c r="A61" s="0" t="s">
        <v>124</v>
      </c>
      <c r="B61" s="0" t="n">
        <v>0.288658066677836</v>
      </c>
      <c r="C61" s="0" t="n">
        <v>0.325752017608217</v>
      </c>
      <c r="D61" s="0" t="n">
        <v>0.320528810177102</v>
      </c>
      <c r="E61" s="0" t="n">
        <v>0.302606857679662</v>
      </c>
      <c r="F61" s="0" t="n">
        <v>0.3023302531137</v>
      </c>
    </row>
    <row r="62" customFormat="false" ht="15" hidden="false" customHeight="false" outlineLevel="0" collapsed="false">
      <c r="A62" s="0" t="s">
        <v>128</v>
      </c>
      <c r="B62" s="0" t="n">
        <v>0.205227006198693</v>
      </c>
      <c r="C62" s="0" t="n">
        <v>0.252384446074835</v>
      </c>
      <c r="D62" s="0" t="n">
        <v>0.247069094537291</v>
      </c>
      <c r="E62" s="0" t="n">
        <v>0.234264913104744</v>
      </c>
      <c r="F62" s="0" t="n">
        <v>0.235235034150261</v>
      </c>
    </row>
    <row r="63" customFormat="false" ht="15" hidden="false" customHeight="false" outlineLevel="0" collapsed="false">
      <c r="A63" s="0" t="s">
        <v>130</v>
      </c>
      <c r="B63" s="0" t="n">
        <v>0.162338750209415</v>
      </c>
      <c r="C63" s="0" t="n">
        <v>0.197505502567865</v>
      </c>
      <c r="D63" s="0" t="n">
        <v>0.201920678473435</v>
      </c>
      <c r="E63" s="0" t="n">
        <v>0.19246124941287</v>
      </c>
      <c r="F63" s="0" t="n">
        <v>0.179590196866211</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392B"/>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0"/>
    <col collapsed="false" customWidth="true" hidden="false" outlineLevel="0" max="4" min="3" style="0" width="50"/>
    <col collapsed="false" customWidth="true" hidden="false" outlineLevel="0" max="5" min="5" style="0" width="40"/>
    <col collapsed="false" customWidth="true" hidden="false" outlineLevel="0" max="6" min="6" style="0" width="12"/>
  </cols>
  <sheetData>
    <row r="1" customFormat="false" ht="19.7" hidden="false" customHeight="false" outlineLevel="0" collapsed="false">
      <c r="A1" s="31" t="s">
        <v>410</v>
      </c>
      <c r="B1" s="31"/>
      <c r="C1" s="31"/>
      <c r="D1" s="31"/>
      <c r="E1" s="31"/>
      <c r="F1" s="31"/>
    </row>
    <row r="2" customFormat="false" ht="15" hidden="false" customHeight="false" outlineLevel="0" collapsed="false">
      <c r="A2" s="13" t="s">
        <v>411</v>
      </c>
      <c r="B2" s="13"/>
      <c r="C2" s="13"/>
      <c r="D2" s="13"/>
      <c r="E2" s="13"/>
      <c r="F2" s="13"/>
    </row>
    <row r="4" customFormat="false" ht="15" hidden="false" customHeight="false" outlineLevel="0" collapsed="false">
      <c r="A4" s="16" t="s">
        <v>412</v>
      </c>
      <c r="B4" s="16" t="s">
        <v>73</v>
      </c>
      <c r="C4" s="16" t="s">
        <v>413</v>
      </c>
      <c r="D4" s="16" t="s">
        <v>414</v>
      </c>
      <c r="E4" s="16" t="s">
        <v>415</v>
      </c>
      <c r="F4" s="16" t="s">
        <v>416</v>
      </c>
    </row>
    <row r="5" customFormat="false" ht="79.5" hidden="false" customHeight="true" outlineLevel="0" collapsed="false">
      <c r="A5" s="44" t="n">
        <v>1</v>
      </c>
      <c r="B5" s="45" t="s">
        <v>77</v>
      </c>
      <c r="C5" s="46" t="s">
        <v>417</v>
      </c>
      <c r="D5" s="46" t="s">
        <v>418</v>
      </c>
      <c r="E5" s="46" t="s">
        <v>419</v>
      </c>
      <c r="F5" s="47" t="s">
        <v>420</v>
      </c>
    </row>
    <row r="6" customFormat="false" ht="79.5" hidden="false" customHeight="true" outlineLevel="0" collapsed="false">
      <c r="A6" s="48" t="n">
        <v>2</v>
      </c>
      <c r="B6" s="49" t="s">
        <v>421</v>
      </c>
      <c r="C6" s="50" t="s">
        <v>422</v>
      </c>
      <c r="D6" s="50" t="s">
        <v>423</v>
      </c>
      <c r="E6" s="50" t="s">
        <v>424</v>
      </c>
      <c r="F6" s="47" t="s">
        <v>420</v>
      </c>
    </row>
    <row r="7" customFormat="false" ht="79.5" hidden="false" customHeight="true" outlineLevel="0" collapsed="false">
      <c r="A7" s="44" t="n">
        <v>3</v>
      </c>
      <c r="B7" s="45" t="s">
        <v>425</v>
      </c>
      <c r="C7" s="46" t="s">
        <v>426</v>
      </c>
      <c r="D7" s="46" t="s">
        <v>427</v>
      </c>
      <c r="E7" s="46" t="s">
        <v>428</v>
      </c>
      <c r="F7" s="51" t="s">
        <v>429</v>
      </c>
    </row>
    <row r="8" customFormat="false" ht="79.5" hidden="false" customHeight="true" outlineLevel="0" collapsed="false">
      <c r="A8" s="48" t="n">
        <v>4</v>
      </c>
      <c r="B8" s="49" t="s">
        <v>430</v>
      </c>
      <c r="C8" s="50" t="s">
        <v>431</v>
      </c>
      <c r="D8" s="50" t="s">
        <v>432</v>
      </c>
      <c r="E8" s="50" t="s">
        <v>433</v>
      </c>
      <c r="F8" s="52" t="s">
        <v>434</v>
      </c>
    </row>
    <row r="9" customFormat="false" ht="79.5" hidden="false" customHeight="true" outlineLevel="0" collapsed="false">
      <c r="A9" s="44" t="n">
        <v>5</v>
      </c>
      <c r="B9" s="45" t="s">
        <v>435</v>
      </c>
      <c r="C9" s="46" t="s">
        <v>436</v>
      </c>
      <c r="D9" s="46" t="s">
        <v>437</v>
      </c>
      <c r="E9" s="46" t="s">
        <v>438</v>
      </c>
      <c r="F9" s="52" t="s">
        <v>434</v>
      </c>
    </row>
    <row r="10" customFormat="false" ht="79.5" hidden="false" customHeight="true" outlineLevel="0" collapsed="false">
      <c r="A10" s="48" t="n">
        <v>6</v>
      </c>
      <c r="B10" s="49" t="s">
        <v>439</v>
      </c>
      <c r="C10" s="50" t="s">
        <v>440</v>
      </c>
      <c r="D10" s="50" t="s">
        <v>441</v>
      </c>
      <c r="E10" s="50" t="s">
        <v>442</v>
      </c>
      <c r="F10" s="47" t="s">
        <v>420</v>
      </c>
    </row>
    <row r="11" customFormat="false" ht="79.5" hidden="false" customHeight="true" outlineLevel="0" collapsed="false">
      <c r="A11" s="44" t="n">
        <v>7</v>
      </c>
      <c r="B11" s="45" t="s">
        <v>443</v>
      </c>
      <c r="C11" s="46" t="s">
        <v>444</v>
      </c>
      <c r="D11" s="46" t="s">
        <v>445</v>
      </c>
      <c r="E11" s="46" t="s">
        <v>446</v>
      </c>
      <c r="F11" s="47" t="s">
        <v>420</v>
      </c>
    </row>
    <row r="12" customFormat="false" ht="79.5" hidden="false" customHeight="true" outlineLevel="0" collapsed="false">
      <c r="A12" s="48" t="n">
        <v>8</v>
      </c>
      <c r="B12" s="49" t="s">
        <v>447</v>
      </c>
      <c r="C12" s="50" t="s">
        <v>448</v>
      </c>
      <c r="D12" s="50" t="s">
        <v>449</v>
      </c>
      <c r="E12" s="50" t="s">
        <v>450</v>
      </c>
      <c r="F12" s="52" t="s">
        <v>434</v>
      </c>
    </row>
    <row r="13" customFormat="false" ht="79.5" hidden="false" customHeight="true" outlineLevel="0" collapsed="false">
      <c r="A13" s="44" t="n">
        <v>9</v>
      </c>
      <c r="B13" s="45" t="s">
        <v>101</v>
      </c>
      <c r="C13" s="46" t="s">
        <v>451</v>
      </c>
      <c r="D13" s="46" t="s">
        <v>452</v>
      </c>
      <c r="E13" s="46" t="s">
        <v>453</v>
      </c>
      <c r="F13" s="47" t="s">
        <v>420</v>
      </c>
    </row>
    <row r="14" customFormat="false" ht="79.5" hidden="false" customHeight="true" outlineLevel="0" collapsed="false">
      <c r="A14" s="48" t="n">
        <v>10</v>
      </c>
      <c r="B14" s="49" t="s">
        <v>104</v>
      </c>
      <c r="C14" s="50" t="s">
        <v>454</v>
      </c>
      <c r="D14" s="50" t="s">
        <v>455</v>
      </c>
      <c r="E14" s="50" t="s">
        <v>456</v>
      </c>
      <c r="F14" s="47" t="s">
        <v>420</v>
      </c>
    </row>
    <row r="16" customFormat="false" ht="17.35" hidden="false" customHeight="false" outlineLevel="0" collapsed="false">
      <c r="A16" s="6" t="s">
        <v>457</v>
      </c>
      <c r="B16" s="6"/>
      <c r="C16" s="6"/>
      <c r="D16" s="6"/>
      <c r="E16" s="6"/>
      <c r="F16" s="6"/>
    </row>
    <row r="17" customFormat="false" ht="15" hidden="false" customHeight="true" outlineLevel="0" collapsed="false">
      <c r="A17" s="7" t="s">
        <v>458</v>
      </c>
      <c r="B17" s="53" t="s">
        <v>459</v>
      </c>
      <c r="C17" s="53"/>
      <c r="D17" s="53"/>
      <c r="E17" s="53"/>
      <c r="F17" s="53"/>
    </row>
    <row r="18" customFormat="false" ht="15" hidden="false" customHeight="true" outlineLevel="0" collapsed="false">
      <c r="A18" s="7" t="s">
        <v>460</v>
      </c>
      <c r="B18" s="53" t="s">
        <v>461</v>
      </c>
      <c r="C18" s="53"/>
      <c r="D18" s="53"/>
      <c r="E18" s="53"/>
      <c r="F18" s="53"/>
    </row>
    <row r="19" customFormat="false" ht="15" hidden="false" customHeight="true" outlineLevel="0" collapsed="false">
      <c r="A19" s="7" t="s">
        <v>462</v>
      </c>
      <c r="B19" s="53" t="s">
        <v>463</v>
      </c>
      <c r="C19" s="53"/>
      <c r="D19" s="53"/>
      <c r="E19" s="53"/>
      <c r="F19" s="53"/>
    </row>
    <row r="20" customFormat="false" ht="15" hidden="false" customHeight="false" outlineLevel="0" collapsed="false">
      <c r="A20" s="7"/>
      <c r="B20" s="53"/>
      <c r="C20" s="53"/>
      <c r="D20" s="53"/>
      <c r="E20" s="53"/>
      <c r="F20" s="53"/>
    </row>
    <row r="21" customFormat="false" ht="15" hidden="false" customHeight="true" outlineLevel="0" collapsed="false">
      <c r="A21" s="7" t="s">
        <v>464</v>
      </c>
      <c r="B21" s="53" t="s">
        <v>465</v>
      </c>
      <c r="C21" s="53"/>
      <c r="D21" s="53"/>
      <c r="E21" s="53"/>
      <c r="F21" s="53"/>
    </row>
  </sheetData>
  <mergeCells count="8">
    <mergeCell ref="A1:F1"/>
    <mergeCell ref="A2:F2"/>
    <mergeCell ref="A16:F16"/>
    <mergeCell ref="B17:F17"/>
    <mergeCell ref="B18:F18"/>
    <mergeCell ref="B19:F19"/>
    <mergeCell ref="B20:F20"/>
    <mergeCell ref="B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2026-09-18T14:57:02Z</dcterms:created>
  <dc:creator>openpyxl</dc:creator>
  <dc:description/>
  <dc:language>en-US</dc:language>
  <cp:lastModifiedBy/>
  <dcterms:modified xsi:type="dcterms:W3CDTF">2026-09-18T16:57:10Z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